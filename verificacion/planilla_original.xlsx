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0.6.1.44\alpar\Medicamentos Alto Riesgo UCI\"/>
    </mc:Choice>
  </mc:AlternateContent>
  <bookViews>
    <workbookView xWindow="0" yWindow="0" windowWidth="24000" windowHeight="9630" activeTab="2"/>
  </bookViews>
  <sheets>
    <sheet name="Medicamentos" sheetId="1" r:id="rId1"/>
    <sheet name="Antimicrobianos" sheetId="6" r:id="rId2"/>
    <sheet name="Otros medicamentos" sheetId="2" r:id="rId3"/>
    <sheet name="Inmunoglobulina" sheetId="7" r:id="rId4"/>
    <sheet name="Reanimación" sheetId="4" r:id="rId5"/>
    <sheet name="Versión Para Imprimir" sheetId="3" r:id="rId6"/>
  </sheets>
  <definedNames>
    <definedName name="Peso">Reanimación!$B$10</definedName>
  </definedNames>
  <calcPr calcId="162913"/>
</workbook>
</file>

<file path=xl/calcChain.xml><?xml version="1.0" encoding="utf-8"?>
<calcChain xmlns="http://schemas.openxmlformats.org/spreadsheetml/2006/main">
  <c r="F5" i="2" l="1"/>
  <c r="B5" i="2"/>
  <c r="B4" i="2"/>
  <c r="B3" i="2"/>
  <c r="G24" i="2" l="1"/>
  <c r="B6" i="7" l="1"/>
  <c r="J12" i="7" l="1"/>
  <c r="I12" i="7"/>
  <c r="E12" i="7"/>
  <c r="G12" i="7" l="1"/>
  <c r="I6" i="7" l="1"/>
  <c r="D6" i="7"/>
  <c r="J5" i="7"/>
  <c r="F5" i="7"/>
  <c r="B5" i="7"/>
  <c r="B4" i="7"/>
  <c r="B3" i="7"/>
  <c r="I1" i="7"/>
  <c r="B5" i="3" l="1"/>
  <c r="I6" i="6" l="1"/>
  <c r="J5" i="6"/>
  <c r="F5" i="6"/>
  <c r="D6" i="6"/>
  <c r="B6" i="6"/>
  <c r="H25" i="6" s="1"/>
  <c r="O25" i="6" s="1"/>
  <c r="B5" i="6"/>
  <c r="B4" i="6"/>
  <c r="B3" i="6"/>
  <c r="K25" i="6"/>
  <c r="I1" i="6"/>
  <c r="H23" i="6" l="1"/>
  <c r="O23" i="6" s="1"/>
  <c r="G19" i="6"/>
  <c r="L19" i="6" s="1"/>
  <c r="G72" i="6"/>
  <c r="L72" i="6" s="1"/>
  <c r="N72" i="6" s="1"/>
  <c r="G18" i="6"/>
  <c r="N18" i="6" s="1"/>
  <c r="H21" i="6"/>
  <c r="O21" i="6" s="1"/>
  <c r="G15" i="6"/>
  <c r="H18" i="6"/>
  <c r="G23" i="6"/>
  <c r="G25" i="6"/>
  <c r="H29" i="6"/>
  <c r="H32" i="6"/>
  <c r="G42" i="6"/>
  <c r="G45" i="6"/>
  <c r="G53" i="6"/>
  <c r="L53" i="6" s="1"/>
  <c r="G56" i="6"/>
  <c r="L56" i="6" s="1"/>
  <c r="N56" i="6" s="1"/>
  <c r="G68" i="6"/>
  <c r="G70" i="6"/>
  <c r="H72" i="6"/>
  <c r="M72" i="6" s="1"/>
  <c r="O72" i="6" s="1"/>
  <c r="M25" i="6"/>
  <c r="G29" i="6"/>
  <c r="G30" i="6"/>
  <c r="L30" i="6" s="1"/>
  <c r="G32" i="6"/>
  <c r="G33" i="6"/>
  <c r="L33" i="6" s="1"/>
  <c r="G34" i="6"/>
  <c r="G35" i="6"/>
  <c r="L35" i="6" s="1"/>
  <c r="H37" i="6"/>
  <c r="G39" i="6"/>
  <c r="L39" i="6" s="1"/>
  <c r="N39" i="6" s="1"/>
  <c r="G40" i="6"/>
  <c r="L40" i="6" s="1"/>
  <c r="N40" i="6" s="1"/>
  <c r="G43" i="6"/>
  <c r="H45" i="6"/>
  <c r="G54" i="6"/>
  <c r="L54" i="6" s="1"/>
  <c r="G58" i="6"/>
  <c r="G69" i="6"/>
  <c r="M23" i="6" l="1"/>
  <c r="M21" i="6"/>
  <c r="L18" i="6"/>
  <c r="N19" i="6"/>
  <c r="N69" i="6"/>
  <c r="L69" i="6"/>
  <c r="L43" i="6"/>
  <c r="N43" i="6"/>
  <c r="L68" i="6"/>
  <c r="N68" i="6"/>
  <c r="N41" i="6"/>
  <c r="L41" i="6"/>
  <c r="O32" i="6"/>
  <c r="M32" i="6"/>
  <c r="N25" i="6"/>
  <c r="L25" i="6"/>
  <c r="L15" i="6"/>
  <c r="L16" i="6"/>
  <c r="N58" i="6"/>
  <c r="L58" i="6"/>
  <c r="O45" i="6"/>
  <c r="M45" i="6"/>
  <c r="O37" i="6"/>
  <c r="M37" i="6"/>
  <c r="L34" i="6"/>
  <c r="N34" i="6"/>
  <c r="N32" i="6"/>
  <c r="L32" i="6"/>
  <c r="N29" i="6"/>
  <c r="L29" i="6"/>
  <c r="L70" i="6"/>
  <c r="N70" i="6"/>
  <c r="N45" i="6"/>
  <c r="L45" i="6"/>
  <c r="O29" i="6"/>
  <c r="M29" i="6"/>
  <c r="N23" i="6"/>
  <c r="L23" i="6"/>
  <c r="O18" i="6"/>
  <c r="M18" i="6"/>
  <c r="B6" i="4" l="1"/>
  <c r="B3" i="4" l="1"/>
  <c r="G25" i="2" l="1"/>
  <c r="E13" i="2"/>
  <c r="G13" i="2" s="1"/>
  <c r="G23" i="2"/>
  <c r="E14" i="2"/>
  <c r="E11" i="2"/>
  <c r="G11" i="2" s="1"/>
  <c r="G22" i="2"/>
  <c r="E45" i="3"/>
  <c r="E21" i="1" l="1"/>
  <c r="B43" i="3" l="1"/>
  <c r="B42" i="3"/>
  <c r="B41" i="3"/>
  <c r="B40" i="3"/>
  <c r="B39" i="3"/>
  <c r="B38" i="3"/>
  <c r="B37" i="3"/>
  <c r="B36" i="3"/>
  <c r="B35" i="3"/>
  <c r="B34" i="3"/>
  <c r="B33" i="3"/>
  <c r="B32" i="3"/>
  <c r="B31" i="3"/>
  <c r="D6" i="4" l="1"/>
  <c r="F6" i="4"/>
  <c r="F5" i="4"/>
  <c r="B5" i="4"/>
  <c r="B4" i="4"/>
  <c r="I1" i="4"/>
  <c r="D5" i="4" l="1"/>
  <c r="I5" i="4" s="1"/>
  <c r="K5" i="4" s="1"/>
  <c r="B12" i="4"/>
  <c r="B13" i="4"/>
  <c r="B17" i="4"/>
  <c r="C17" i="4"/>
  <c r="B4" i="3" l="1"/>
  <c r="F6" i="1" l="1"/>
  <c r="F6" i="6" l="1"/>
  <c r="F6" i="7"/>
  <c r="G21" i="2"/>
  <c r="E16" i="2"/>
  <c r="G16" i="2" s="1"/>
  <c r="E15" i="2"/>
  <c r="G15" i="2" s="1"/>
  <c r="G14" i="2"/>
  <c r="E12" i="2"/>
  <c r="G12" i="2" s="1"/>
  <c r="F6" i="2"/>
  <c r="I1" i="2"/>
  <c r="I5" i="2" l="1"/>
  <c r="K5" i="2" s="1"/>
  <c r="G46" i="1"/>
  <c r="F43" i="3" s="1"/>
  <c r="G45" i="1"/>
  <c r="F42" i="3" s="1"/>
  <c r="G44" i="1"/>
  <c r="F41" i="3" s="1"/>
  <c r="G43" i="1"/>
  <c r="F40" i="3" s="1"/>
  <c r="G42" i="1"/>
  <c r="F39" i="3" s="1"/>
  <c r="G41" i="1"/>
  <c r="F38" i="3" s="1"/>
  <c r="G40" i="1"/>
  <c r="F37" i="3" s="1"/>
  <c r="G39" i="1"/>
  <c r="F36" i="3" s="1"/>
  <c r="G38" i="1"/>
  <c r="F35" i="3" s="1"/>
  <c r="G37" i="1"/>
  <c r="F34" i="3" s="1"/>
  <c r="G36" i="1"/>
  <c r="F33" i="3" s="1"/>
  <c r="G35" i="1"/>
  <c r="F32" i="3" s="1"/>
  <c r="G34" i="1"/>
  <c r="F31" i="3" s="1"/>
  <c r="E29" i="1"/>
  <c r="E28" i="1"/>
  <c r="E27" i="1"/>
  <c r="E26" i="1"/>
  <c r="E25" i="1"/>
  <c r="E24" i="1"/>
  <c r="E23" i="1"/>
  <c r="E22" i="1"/>
  <c r="E20" i="1"/>
  <c r="E19" i="1"/>
  <c r="E18" i="1"/>
  <c r="E17" i="1"/>
  <c r="E16" i="1"/>
  <c r="E15" i="1"/>
  <c r="E14" i="1"/>
  <c r="E13" i="1"/>
  <c r="G13" i="1" s="1"/>
  <c r="D11" i="3" s="1"/>
  <c r="E12" i="1"/>
  <c r="E11" i="1"/>
  <c r="I1" i="1"/>
  <c r="D5" i="1" s="1"/>
  <c r="D5" i="7" s="1"/>
  <c r="D5" i="6" l="1"/>
  <c r="J14" i="6" s="1"/>
  <c r="I5" i="1"/>
  <c r="I5" i="7" s="1"/>
  <c r="G5" i="3"/>
  <c r="G12" i="1"/>
  <c r="D10" i="3" s="1"/>
  <c r="B10" i="3"/>
  <c r="G20" i="1"/>
  <c r="D17" i="3" s="1"/>
  <c r="B17" i="3"/>
  <c r="G28" i="1"/>
  <c r="D25" i="3" s="1"/>
  <c r="B25" i="3"/>
  <c r="G21" i="1"/>
  <c r="D18" i="3" s="1"/>
  <c r="B18" i="3"/>
  <c r="G29" i="1"/>
  <c r="D26" i="3" s="1"/>
  <c r="B26" i="3"/>
  <c r="G18" i="1"/>
  <c r="D15" i="3" s="1"/>
  <c r="B15" i="3"/>
  <c r="G22" i="1"/>
  <c r="D19" i="3" s="1"/>
  <c r="B19" i="3"/>
  <c r="G26" i="1"/>
  <c r="D23" i="3" s="1"/>
  <c r="B23" i="3"/>
  <c r="G16" i="1"/>
  <c r="D13" i="3" s="1"/>
  <c r="B13" i="3"/>
  <c r="G24" i="1"/>
  <c r="D21" i="3" s="1"/>
  <c r="B21" i="3"/>
  <c r="G17" i="1"/>
  <c r="D14" i="3" s="1"/>
  <c r="B14" i="3"/>
  <c r="G25" i="1"/>
  <c r="D22" i="3" s="1"/>
  <c r="B22" i="3"/>
  <c r="G14" i="1"/>
  <c r="B11" i="3"/>
  <c r="G11" i="1"/>
  <c r="D9" i="3" s="1"/>
  <c r="B9" i="3"/>
  <c r="G15" i="1"/>
  <c r="D12" i="3" s="1"/>
  <c r="B12" i="3"/>
  <c r="G19" i="1"/>
  <c r="D16" i="3" s="1"/>
  <c r="B16" i="3"/>
  <c r="G23" i="1"/>
  <c r="D20" i="3" s="1"/>
  <c r="B20" i="3"/>
  <c r="G27" i="1"/>
  <c r="D24" i="3" s="1"/>
  <c r="B24" i="3"/>
  <c r="K23" i="6" l="1"/>
  <c r="E14" i="6"/>
  <c r="G14" i="6" s="1"/>
  <c r="N14" i="6" s="1"/>
  <c r="K5" i="1"/>
  <c r="K5" i="7" s="1"/>
  <c r="I5" i="6"/>
  <c r="F13" i="6" l="1"/>
  <c r="H13" i="6" s="1"/>
  <c r="E26" i="6"/>
  <c r="G26" i="6" s="1"/>
  <c r="L26" i="6" s="1"/>
  <c r="L14" i="6"/>
  <c r="K5" i="6"/>
  <c r="F40" i="6" s="1"/>
  <c r="H40" i="6" s="1"/>
  <c r="M40" i="6" s="1"/>
  <c r="O40" i="6" s="1"/>
  <c r="J53" i="6"/>
  <c r="K39" i="6"/>
  <c r="K40" i="6"/>
  <c r="E57" i="6"/>
  <c r="G57" i="6" s="1"/>
  <c r="L57" i="6" s="1"/>
  <c r="K72" i="6"/>
  <c r="J44" i="6"/>
  <c r="E21" i="6"/>
  <c r="G21" i="6" s="1"/>
  <c r="J37" i="6"/>
  <c r="J19" i="6"/>
  <c r="E60" i="6"/>
  <c r="G60" i="6" s="1"/>
  <c r="L60" i="6" s="1"/>
  <c r="J29" i="6"/>
  <c r="E59" i="6"/>
  <c r="G59" i="6" s="1"/>
  <c r="L59" i="6" s="1"/>
  <c r="J34" i="6"/>
  <c r="F56" i="6"/>
  <c r="H56" i="6" s="1"/>
  <c r="M56" i="6" s="1"/>
  <c r="O56" i="6" s="1"/>
  <c r="E37" i="6"/>
  <c r="G37" i="6" s="1"/>
  <c r="E13" i="6"/>
  <c r="G13" i="6" s="1"/>
  <c r="K29" i="6"/>
  <c r="J23" i="6"/>
  <c r="K37" i="6"/>
  <c r="J13" i="6"/>
  <c r="J43" i="6"/>
  <c r="K13" i="6"/>
  <c r="F39" i="6" l="1"/>
  <c r="H39" i="6" s="1"/>
  <c r="M39" i="6" s="1"/>
  <c r="O39" i="6" s="1"/>
  <c r="J25" i="6"/>
  <c r="N37" i="6"/>
  <c r="L37" i="6"/>
  <c r="N21" i="6"/>
  <c r="L21" i="6"/>
  <c r="O13" i="6"/>
  <c r="M13" i="6"/>
  <c r="N13" i="6"/>
  <c r="L13" i="6"/>
</calcChain>
</file>

<file path=xl/comments1.xml><?xml version="1.0" encoding="utf-8"?>
<comments xmlns="http://schemas.openxmlformats.org/spreadsheetml/2006/main">
  <authors>
    <author>BW-16</author>
  </authors>
  <commentList>
    <comment ref="I11" authorId="0" shapeId="0">
      <text>
        <r>
          <rPr>
            <b/>
            <sz val="9"/>
            <color indexed="81"/>
            <rFont val="Tahoma"/>
            <family val="2"/>
          </rPr>
          <t xml:space="preserve">Si paciente tolera bien la primera hora, subir goteo.
</t>
        </r>
      </text>
    </comment>
  </commentList>
</comments>
</file>

<file path=xl/sharedStrings.xml><?xml version="1.0" encoding="utf-8"?>
<sst xmlns="http://schemas.openxmlformats.org/spreadsheetml/2006/main" count="913" uniqueCount="294">
  <si>
    <t>Cálculo de medicamentos de alto riesgo</t>
  </si>
  <si>
    <t>Fecha</t>
  </si>
  <si>
    <t>Nombre paciente</t>
  </si>
  <si>
    <t>Diagnóstico</t>
  </si>
  <si>
    <t>Fecha de nacimiento</t>
  </si>
  <si>
    <t>Peso (g)</t>
  </si>
  <si>
    <t>Edad (días)</t>
  </si>
  <si>
    <t>Talla (cm)</t>
  </si>
  <si>
    <t>Superficie Corporal (m2)</t>
  </si>
  <si>
    <t>EG (semanas)</t>
  </si>
  <si>
    <t>EGC (semanas + días)</t>
  </si>
  <si>
    <t>+</t>
  </si>
  <si>
    <t>Bolos de medicamentos</t>
  </si>
  <si>
    <t>Información</t>
  </si>
  <si>
    <t>Medicamento</t>
  </si>
  <si>
    <t xml:space="preserve">Adenosina         </t>
  </si>
  <si>
    <t>Adrenalina</t>
  </si>
  <si>
    <t>Fenitoína</t>
  </si>
  <si>
    <t>Fenobarbital</t>
  </si>
  <si>
    <t>Fentanilo</t>
  </si>
  <si>
    <t>Flumazenil</t>
  </si>
  <si>
    <t>Hidrato de cloral</t>
  </si>
  <si>
    <t>Levetiracetam</t>
  </si>
  <si>
    <t>Lorazepam</t>
  </si>
  <si>
    <t>Metadona</t>
  </si>
  <si>
    <t>Midazolam</t>
  </si>
  <si>
    <t>Morfina</t>
  </si>
  <si>
    <t>Naloxona</t>
  </si>
  <si>
    <t>Propofol</t>
  </si>
  <si>
    <t>Vecuronio</t>
  </si>
  <si>
    <t>Concentración</t>
  </si>
  <si>
    <t>3 mg/ mL</t>
  </si>
  <si>
    <t>0,1 mg/mL (1:10.000)</t>
  </si>
  <si>
    <t>5 mg/mL</t>
  </si>
  <si>
    <t>10 mg/mL</t>
  </si>
  <si>
    <t>10 mcg / mL</t>
  </si>
  <si>
    <t>100 mcg/mL</t>
  </si>
  <si>
    <t>100 mg/mL</t>
  </si>
  <si>
    <t>2 mg/ mL</t>
  </si>
  <si>
    <t>1 mg/mL</t>
  </si>
  <si>
    <t>0,1 mg/0,1mL</t>
  </si>
  <si>
    <t>0,4 mg/mL</t>
  </si>
  <si>
    <t>2 mg/mL</t>
  </si>
  <si>
    <t>Vía de administración</t>
  </si>
  <si>
    <t>EV</t>
  </si>
  <si>
    <t>ET</t>
  </si>
  <si>
    <t>VO o rectal</t>
  </si>
  <si>
    <t>EV o IM</t>
  </si>
  <si>
    <t xml:space="preserve">Dosis por Kg </t>
  </si>
  <si>
    <t>0,1 mg/Kg</t>
  </si>
  <si>
    <t>0,03 mg/Kg</t>
  </si>
  <si>
    <t>0,05 mg/Kg</t>
  </si>
  <si>
    <t>Carga :20 mg/Kg</t>
  </si>
  <si>
    <t>Mantención: 3 mg/Kg/dosis</t>
  </si>
  <si>
    <t>Carga: 20 mg/Kg</t>
  </si>
  <si>
    <t>1 mcg/Kg</t>
  </si>
  <si>
    <t>5 mcg/ Kg</t>
  </si>
  <si>
    <t xml:space="preserve">40 mg/ Kg </t>
  </si>
  <si>
    <t>Mantención: 40 mg/Kg/dosis</t>
  </si>
  <si>
    <t>0,2 mg/ Kg</t>
  </si>
  <si>
    <t>0,1 mg/ Kg</t>
  </si>
  <si>
    <t>1 mg/Kg</t>
  </si>
  <si>
    <t>Cálculo de dosis</t>
  </si>
  <si>
    <t>Dosis a administrar</t>
  </si>
  <si>
    <t>mg</t>
  </si>
  <si>
    <t>mcg</t>
  </si>
  <si>
    <t>Administrar</t>
  </si>
  <si>
    <t>mL</t>
  </si>
  <si>
    <t xml:space="preserve">Diluir en </t>
  </si>
  <si>
    <t>Tiempo de infusión</t>
  </si>
  <si>
    <t>No diluir</t>
  </si>
  <si>
    <t>Suero fisiológico</t>
  </si>
  <si>
    <t>Bolo rápido</t>
  </si>
  <si>
    <t>Bolo lento</t>
  </si>
  <si>
    <t>15 segundos</t>
  </si>
  <si>
    <t>No dliluir</t>
  </si>
  <si>
    <t>No aplica</t>
  </si>
  <si>
    <t>15 minutos</t>
  </si>
  <si>
    <t>Suero glucosado al 5%</t>
  </si>
  <si>
    <t>60 segundos</t>
  </si>
  <si>
    <t>1 - 2 seg</t>
  </si>
  <si>
    <t>SF</t>
  </si>
  <si>
    <t>SG 5% o SF</t>
  </si>
  <si>
    <t>SG 5% o 10% o SF</t>
  </si>
  <si>
    <t>Bolo rapido</t>
  </si>
  <si>
    <t>SG 5%</t>
  </si>
  <si>
    <t>Infusiones Continuas</t>
  </si>
  <si>
    <t>Alprostadil (Prostaglandina E1)</t>
  </si>
  <si>
    <t>Dobutamina</t>
  </si>
  <si>
    <t>Dopamina</t>
  </si>
  <si>
    <t>Insulina</t>
  </si>
  <si>
    <t>Milrinona</t>
  </si>
  <si>
    <t>Noradrenalina</t>
  </si>
  <si>
    <t>Precedex (dexmedetomidina)</t>
  </si>
  <si>
    <t>Dosis  recomendada</t>
  </si>
  <si>
    <t xml:space="preserve">Preparar en </t>
  </si>
  <si>
    <t xml:space="preserve">0,1-1 mcg/Kg/min </t>
  </si>
  <si>
    <t>SG 5%, 10% o Suero fisiológico</t>
  </si>
  <si>
    <t>0,01 - 0,1 mcg/Kg/min</t>
  </si>
  <si>
    <t>SG5% o Suero fisiológico</t>
  </si>
  <si>
    <t>2 - 20 mcg/Kg/min</t>
  </si>
  <si>
    <t>2-20 mcg/Kg/min</t>
  </si>
  <si>
    <t>0,5- 5 mcg/Kg/hr</t>
  </si>
  <si>
    <t>0,01 - 0,1 UI/Kg/hr</t>
  </si>
  <si>
    <t xml:space="preserve">100 - 200 mcg/Kg/hr </t>
  </si>
  <si>
    <t>0,3 - 0,75 mcg/Kg/min</t>
  </si>
  <si>
    <t>20-40 mcg/Kg/hr</t>
  </si>
  <si>
    <t>0,1 - 1 mcg/kg/min</t>
  </si>
  <si>
    <t>0,05-0,8 mcg/Kg/hr</t>
  </si>
  <si>
    <t>1 – 3 mg/Kg/hr</t>
  </si>
  <si>
    <t>0,2-0,5 mg/kg/hr</t>
  </si>
  <si>
    <t>Unidad de medida</t>
  </si>
  <si>
    <t>Preparación en 24 mL</t>
  </si>
  <si>
    <t>mcg/Kg/min / mL</t>
  </si>
  <si>
    <t>mcg/Kg/ hr/mL</t>
  </si>
  <si>
    <t>UI/ Kg/ hr/mL</t>
  </si>
  <si>
    <t>UI</t>
  </si>
  <si>
    <t>mg/Kg/ hr/mL</t>
  </si>
  <si>
    <t>Amiodarona</t>
  </si>
  <si>
    <t>1,5 mg/mL</t>
  </si>
  <si>
    <t>5 mg/Kg</t>
  </si>
  <si>
    <t>20 - 60 min</t>
  </si>
  <si>
    <t>Gluconato de calcio</t>
  </si>
  <si>
    <t>50 mg/mL (al medio)</t>
  </si>
  <si>
    <t>EV por vía central</t>
  </si>
  <si>
    <t>API</t>
  </si>
  <si>
    <t>Sulfato de magnesio</t>
  </si>
  <si>
    <t>25 mg/Kg</t>
  </si>
  <si>
    <t>Verapamilo</t>
  </si>
  <si>
    <t>0,5 mg/mL</t>
  </si>
  <si>
    <t>7-15 mcg/Kg/min</t>
  </si>
  <si>
    <t>SG5% o SF</t>
  </si>
  <si>
    <t>mcg/Kg/min/mL</t>
  </si>
  <si>
    <t>15-30 minutos</t>
  </si>
  <si>
    <t>Calculadora Medicamentos UCI</t>
  </si>
  <si>
    <t>Medicamentos</t>
  </si>
  <si>
    <t>Administrar (mL)</t>
  </si>
  <si>
    <t>Alprostadil (Prostaglandina)</t>
  </si>
  <si>
    <t>15 seg</t>
  </si>
  <si>
    <t>1-2 seg</t>
  </si>
  <si>
    <t>Nº TET (DI)</t>
  </si>
  <si>
    <t>Dist. Boca</t>
  </si>
  <si>
    <t>mm</t>
  </si>
  <si>
    <t>cm</t>
  </si>
  <si>
    <t>1a (0,5 j/kg)</t>
  </si>
  <si>
    <t>2a (2 j/kg)</t>
  </si>
  <si>
    <t>Cardioversión (Sincronizada)</t>
  </si>
  <si>
    <t>Joules</t>
  </si>
  <si>
    <t>Dosis a administrar (mg)</t>
  </si>
  <si>
    <t xml:space="preserve">10 mL API </t>
  </si>
  <si>
    <t>CUPO UCI</t>
  </si>
  <si>
    <t>Carga</t>
  </si>
  <si>
    <t>Mantención</t>
  </si>
  <si>
    <t>Carga: 40 mg/Kg</t>
  </si>
  <si>
    <t>Cupo UCI</t>
  </si>
  <si>
    <t>gamma</t>
  </si>
  <si>
    <t>gamma/Kg/ hr/mL</t>
  </si>
  <si>
    <t>Dosis a utilizar en 1 cc</t>
  </si>
  <si>
    <t>Albúmina</t>
  </si>
  <si>
    <t>20% (20g/100 mL)</t>
  </si>
  <si>
    <t>1g/Kg</t>
  </si>
  <si>
    <t>g</t>
  </si>
  <si>
    <t>4-6 Hr</t>
  </si>
  <si>
    <t>Antibióticos</t>
  </si>
  <si>
    <t>Dosis por Kg  (mg/Kg/dosis)</t>
  </si>
  <si>
    <t>Dosis a administrar (mg/dosis)</t>
  </si>
  <si>
    <t>Intervalo (h)</t>
  </si>
  <si>
    <t xml:space="preserve">Sin restricción de volumen </t>
  </si>
  <si>
    <t>Con restricción de volúmen</t>
  </si>
  <si>
    <t>Ampicilina</t>
  </si>
  <si>
    <t>30 mg/mL</t>
  </si>
  <si>
    <t>Bacteriemia</t>
  </si>
  <si>
    <t>Meningitis</t>
  </si>
  <si>
    <t>Bolo directo</t>
  </si>
  <si>
    <t>Amikacina</t>
  </si>
  <si>
    <t>3 mg/mL</t>
  </si>
  <si>
    <t>SF o SG 5, 10 y 20%</t>
  </si>
  <si>
    <t xml:space="preserve">1 h </t>
  </si>
  <si>
    <t>Azitromicina EV</t>
  </si>
  <si>
    <t>Azitromicina VO</t>
  </si>
  <si>
    <t>200 mg/5mL</t>
  </si>
  <si>
    <t>VO</t>
  </si>
  <si>
    <t>NO APLICA</t>
  </si>
  <si>
    <t>Cefadroxilo</t>
  </si>
  <si>
    <t>250 mg/5mL</t>
  </si>
  <si>
    <t>Profilaxis ITU</t>
  </si>
  <si>
    <t>Tratamiento</t>
  </si>
  <si>
    <t>Cefazolina</t>
  </si>
  <si>
    <t>20 mg/mL</t>
  </si>
  <si>
    <t>Cefepime</t>
  </si>
  <si>
    <t>40 mg/mL</t>
  </si>
  <si>
    <t>SG 5, 10% o SF</t>
  </si>
  <si>
    <t>30 min</t>
  </si>
  <si>
    <t>Cefotaxima</t>
  </si>
  <si>
    <t>1 h</t>
  </si>
  <si>
    <t>Ceftazidima</t>
  </si>
  <si>
    <t>50 mg/mL</t>
  </si>
  <si>
    <t>Ciprofloxacino</t>
  </si>
  <si>
    <t>Volumen relacionado a la dosis indicada</t>
  </si>
  <si>
    <t>Cloxacilina</t>
  </si>
  <si>
    <t xml:space="preserve"> SF</t>
  </si>
  <si>
    <t>Colistin</t>
  </si>
  <si>
    <t>10.000 UI/mL</t>
  </si>
  <si>
    <t>SF o SG 5%</t>
  </si>
  <si>
    <t>Cotrimoxazol (en base a trimetoprim)</t>
  </si>
  <si>
    <t>0,64 mg/mL</t>
  </si>
  <si>
    <t>1,06 mg/mL</t>
  </si>
  <si>
    <t>Stenotrophomona</t>
  </si>
  <si>
    <t>Ertapenem</t>
  </si>
  <si>
    <t>Gentamicina</t>
  </si>
  <si>
    <t>Linezolid</t>
  </si>
  <si>
    <t>Meropenem</t>
  </si>
  <si>
    <t>API o SF</t>
  </si>
  <si>
    <t>Metronidazol</t>
  </si>
  <si>
    <t>SF o SG5%</t>
  </si>
  <si>
    <t>Por una vez</t>
  </si>
  <si>
    <t>Penicilina G</t>
  </si>
  <si>
    <t>50.000 UI/mL</t>
  </si>
  <si>
    <t>100.000 UI/mL</t>
  </si>
  <si>
    <t>Sífilis</t>
  </si>
  <si>
    <t>Primeros 7 días</t>
  </si>
  <si>
    <t>Después de 7 días</t>
  </si>
  <si>
    <t>50.000 UI</t>
  </si>
  <si>
    <t>Piperacilina/  Tazobactam (en base a piperacilina)</t>
  </si>
  <si>
    <t>200 mg/mL</t>
  </si>
  <si>
    <t>API, SF, SG5%</t>
  </si>
  <si>
    <t>Vancomicina</t>
  </si>
  <si>
    <t>2 h</t>
  </si>
  <si>
    <t>Antivirales</t>
  </si>
  <si>
    <t>Aciclovir</t>
  </si>
  <si>
    <t>7 mg/mL</t>
  </si>
  <si>
    <t>Ganciclovir</t>
  </si>
  <si>
    <t>Nevirapina</t>
  </si>
  <si>
    <t>Profilaxis</t>
  </si>
  <si>
    <t>4 - 48 - 72 horas de vida</t>
  </si>
  <si>
    <t>Oseltamivir</t>
  </si>
  <si>
    <t>12 mg/mL</t>
  </si>
  <si>
    <t>Valganciclovir</t>
  </si>
  <si>
    <t>Zidovudina</t>
  </si>
  <si>
    <t>4 mg/mL</t>
  </si>
  <si>
    <t>Antifúngicos</t>
  </si>
  <si>
    <t xml:space="preserve">Tiempo de infusión </t>
  </si>
  <si>
    <t>Anfotericina B Deoxicolato</t>
  </si>
  <si>
    <t>0,1 mg/mL</t>
  </si>
  <si>
    <t>SG 5, 10, 15 y 20%</t>
  </si>
  <si>
    <t>6 h</t>
  </si>
  <si>
    <t>Anfotericina B Liposomal</t>
  </si>
  <si>
    <t>Caspofungina</t>
  </si>
  <si>
    <t>Fluconazol</t>
  </si>
  <si>
    <t>24 h (M-J)</t>
  </si>
  <si>
    <t>Dosis en 1 cc</t>
  </si>
  <si>
    <t>Ketamina</t>
  </si>
  <si>
    <t>10-40 mcg/Kg/min</t>
  </si>
  <si>
    <t>Furosemida</t>
  </si>
  <si>
    <t>0.05-1                 mg/Kg/h</t>
  </si>
  <si>
    <t>mg/Kg/h/mL</t>
  </si>
  <si>
    <t>100 mg/Kg</t>
  </si>
  <si>
    <t>Inmunoglobulina EV</t>
  </si>
  <si>
    <t>Volumen total a administrar</t>
  </si>
  <si>
    <t>Horas posteriores</t>
  </si>
  <si>
    <t>Velocidad de infusión (mL/H)</t>
  </si>
  <si>
    <t>Control de signos vitales</t>
  </si>
  <si>
    <t>Hora</t>
  </si>
  <si>
    <t>PA</t>
  </si>
  <si>
    <t>PAM</t>
  </si>
  <si>
    <t>FC</t>
  </si>
  <si>
    <t>FR</t>
  </si>
  <si>
    <t>SAT. O2</t>
  </si>
  <si>
    <t>Tº</t>
  </si>
  <si>
    <t>central</t>
  </si>
  <si>
    <t>periferica</t>
  </si>
  <si>
    <t>Fecha de vencimiento</t>
  </si>
  <si>
    <t xml:space="preserve">Lote </t>
  </si>
  <si>
    <t>Información adicional</t>
  </si>
  <si>
    <t>Vía de administración (vía exclusiva)</t>
  </si>
  <si>
    <t>Observaciones</t>
  </si>
  <si>
    <t>Firma Médico Tratante</t>
  </si>
  <si>
    <t>En caso de que aparezcan reacciones adversas, disminuir la velocidad de infusión o suspender</t>
  </si>
  <si>
    <t>Primeros             60 min</t>
  </si>
  <si>
    <t>Fecha de           nacimiento</t>
  </si>
  <si>
    <t>EG                          (semanas)</t>
  </si>
  <si>
    <t>SC(m2)</t>
  </si>
  <si>
    <t>Presentación en 100 mL (mg)</t>
  </si>
  <si>
    <t>Dosis por Kg (en mg)</t>
  </si>
  <si>
    <t>Si paciente tolera bien la primera hora, subir goteo según volumen de horas posteriores</t>
  </si>
  <si>
    <t>Tiempo total de infusión (H)</t>
  </si>
  <si>
    <t>Firma Matron/a encargado/a</t>
  </si>
  <si>
    <t>Atropina</t>
  </si>
  <si>
    <t>0,01 mg/Kg</t>
  </si>
  <si>
    <t>Vasopresina</t>
  </si>
  <si>
    <t>0.1-1,2                 mU/Kg/min</t>
  </si>
  <si>
    <t>mUI/Kg/min/mL</t>
  </si>
  <si>
    <t>Isoproterenol</t>
  </si>
  <si>
    <t>0.05-0,5                 mcg/Kg/min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</si>
</sst>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3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6"/>
      <color rgb="FF000000"/>
      <name val="Arial"/>
      <family val="2"/>
    </font>
    <font>
      <i/>
      <sz val="13"/>
      <color rgb="FF000000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b/>
      <sz val="13"/>
      <color rgb="FF000000"/>
      <name val="Arial"/>
      <family val="2"/>
    </font>
    <font>
      <sz val="16"/>
      <color rgb="FF000000"/>
      <name val="Arial"/>
      <family val="2"/>
    </font>
    <font>
      <b/>
      <i/>
      <sz val="13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7A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8">
    <xf numFmtId="0" fontId="0" fillId="0" borderId="0" xfId="0"/>
    <xf numFmtId="0" fontId="1" fillId="0" borderId="0" xfId="0" applyFont="1" applyFill="1" applyBorder="1" applyAlignment="1"/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center" vertical="center" wrapText="1"/>
    </xf>
    <xf numFmtId="2" fontId="4" fillId="6" borderId="5" xfId="0" applyNumberFormat="1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2" fontId="4" fillId="6" borderId="9" xfId="0" applyNumberFormat="1" applyFont="1" applyFill="1" applyBorder="1" applyAlignment="1">
      <alignment horizontal="center" vertical="center"/>
    </xf>
    <xf numFmtId="2" fontId="4" fillId="6" borderId="8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1" fontId="5" fillId="7" borderId="6" xfId="0" applyNumberFormat="1" applyFont="1" applyFill="1" applyBorder="1" applyAlignment="1">
      <alignment horizontal="center"/>
    </xf>
    <xf numFmtId="1" fontId="5" fillId="7" borderId="7" xfId="0" applyNumberFormat="1" applyFont="1" applyFill="1" applyBorder="1" applyAlignment="1">
      <alignment horizontal="center"/>
    </xf>
    <xf numFmtId="3" fontId="4" fillId="7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wrapText="1"/>
    </xf>
    <xf numFmtId="2" fontId="4" fillId="7" borderId="5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2" fontId="4" fillId="0" borderId="5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" fontId="4" fillId="6" borderId="2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0" xfId="0" applyBorder="1"/>
    <xf numFmtId="0" fontId="4" fillId="0" borderId="0" xfId="0" applyFont="1" applyBorder="1" applyAlignment="1"/>
    <xf numFmtId="0" fontId="7" fillId="0" borderId="5" xfId="0" applyFont="1" applyBorder="1" applyAlignment="1"/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0" xfId="0" applyFont="1" applyAlignment="1"/>
    <xf numFmtId="0" fontId="9" fillId="8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165" fontId="12" fillId="0" borderId="15" xfId="0" applyNumberFormat="1" applyFont="1" applyBorder="1" applyAlignment="1">
      <alignment horizontal="center"/>
    </xf>
    <xf numFmtId="0" fontId="13" fillId="0" borderId="11" xfId="0" applyFont="1" applyBorder="1" applyAlignment="1"/>
    <xf numFmtId="0" fontId="6" fillId="0" borderId="5" xfId="0" applyFont="1" applyBorder="1" applyAlignment="1">
      <alignment horizontal="center"/>
    </xf>
    <xf numFmtId="0" fontId="15" fillId="0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5" xfId="0" applyFont="1" applyFill="1" applyBorder="1" applyAlignment="1">
      <alignment vertical="center" wrapText="1"/>
    </xf>
    <xf numFmtId="0" fontId="15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" fontId="5" fillId="7" borderId="0" xfId="0" applyNumberFormat="1" applyFont="1" applyFill="1" applyBorder="1" applyAlignment="1">
      <alignment horizontal="center"/>
    </xf>
    <xf numFmtId="0" fontId="11" fillId="0" borderId="13" xfId="0" applyFont="1" applyBorder="1" applyAlignment="1">
      <alignment wrapText="1"/>
    </xf>
    <xf numFmtId="0" fontId="4" fillId="6" borderId="1" xfId="0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 applyProtection="1">
      <alignment horizontal="center" vertical="center"/>
      <protection locked="0"/>
    </xf>
    <xf numFmtId="3" fontId="4" fillId="7" borderId="5" xfId="0" applyNumberFormat="1" applyFont="1" applyFill="1" applyBorder="1" applyAlignment="1" applyProtection="1">
      <alignment horizontal="center" vertical="center"/>
      <protection locked="0"/>
    </xf>
    <xf numFmtId="0" fontId="4" fillId="7" borderId="5" xfId="0" applyFont="1" applyFill="1" applyBorder="1" applyAlignment="1" applyProtection="1">
      <alignment horizontal="center" vertical="center"/>
      <protection locked="0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/>
      <protection locked="0"/>
    </xf>
    <xf numFmtId="2" fontId="4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4" fillId="6" borderId="5" xfId="0" applyNumberFormat="1" applyFont="1" applyFill="1" applyBorder="1" applyAlignment="1" applyProtection="1">
      <alignment horizontal="center" vertical="center"/>
      <protection locked="0"/>
    </xf>
    <xf numFmtId="165" fontId="4" fillId="6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Fill="1" applyBorder="1" applyAlignment="1" applyProtection="1">
      <alignment horizontal="center" vertical="center"/>
      <protection locked="0"/>
    </xf>
    <xf numFmtId="165" fontId="4" fillId="6" borderId="10" xfId="0" applyNumberFormat="1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2" fontId="4" fillId="6" borderId="9" xfId="0" applyNumberFormat="1" applyFont="1" applyFill="1" applyBorder="1" applyAlignment="1" applyProtection="1">
      <alignment horizontal="center" vertical="center"/>
      <protection locked="0"/>
    </xf>
    <xf numFmtId="2" fontId="4" fillId="6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 applyProtection="1">
      <alignment horizontal="center" vertical="center" wrapText="1"/>
      <protection locked="0"/>
    </xf>
    <xf numFmtId="0" fontId="4" fillId="6" borderId="8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wrapText="1"/>
      <protection locked="0"/>
    </xf>
    <xf numFmtId="0" fontId="4" fillId="6" borderId="5" xfId="0" applyFont="1" applyFill="1" applyBorder="1" applyAlignment="1" applyProtection="1">
      <alignment horizont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6" borderId="2" xfId="0" applyFont="1" applyFill="1" applyBorder="1" applyAlignment="1" applyProtection="1">
      <alignment horizontal="center" vertical="center" wrapText="1"/>
      <protection locked="0"/>
    </xf>
    <xf numFmtId="0" fontId="6" fillId="0" borderId="5" xfId="0" applyFont="1" applyBorder="1"/>
    <xf numFmtId="1" fontId="6" fillId="0" borderId="5" xfId="0" applyNumberFormat="1" applyFont="1" applyBorder="1"/>
    <xf numFmtId="0" fontId="0" fillId="0" borderId="0" xfId="0"/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14" fontId="4" fillId="7" borderId="5" xfId="0" applyNumberFormat="1" applyFont="1" applyFill="1" applyBorder="1" applyAlignment="1">
      <alignment horizontal="center" vertical="center"/>
    </xf>
    <xf numFmtId="0" fontId="4" fillId="7" borderId="5" xfId="0" applyNumberFormat="1" applyFont="1" applyFill="1" applyBorder="1" applyAlignment="1">
      <alignment horizontal="center" vertical="center"/>
    </xf>
    <xf numFmtId="1" fontId="5" fillId="7" borderId="6" xfId="0" applyNumberFormat="1" applyFont="1" applyFill="1" applyBorder="1" applyAlignment="1">
      <alignment horizontal="center"/>
    </xf>
    <xf numFmtId="1" fontId="5" fillId="7" borderId="7" xfId="0" applyNumberFormat="1" applyFont="1" applyFill="1" applyBorder="1" applyAlignment="1">
      <alignment horizontal="center"/>
    </xf>
    <xf numFmtId="3" fontId="4" fillId="7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1" fontId="5" fillId="7" borderId="0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1" fontId="4" fillId="6" borderId="31" xfId="0" applyNumberFormat="1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165" fontId="4" fillId="6" borderId="32" xfId="0" applyNumberFormat="1" applyFont="1" applyFill="1" applyBorder="1" applyAlignment="1">
      <alignment horizontal="center"/>
    </xf>
    <xf numFmtId="165" fontId="4" fillId="6" borderId="32" xfId="0" applyNumberFormat="1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35" xfId="0" applyFont="1" applyFill="1" applyBorder="1" applyAlignment="1">
      <alignment horizontal="center" vertical="center"/>
    </xf>
    <xf numFmtId="1" fontId="4" fillId="6" borderId="28" xfId="0" applyNumberFormat="1" applyFont="1" applyFill="1" applyBorder="1" applyAlignment="1">
      <alignment horizontal="center" vertical="center"/>
    </xf>
    <xf numFmtId="165" fontId="4" fillId="6" borderId="28" xfId="0" applyNumberFormat="1" applyFont="1" applyFill="1" applyBorder="1" applyAlignment="1">
      <alignment horizontal="center" vertical="center"/>
    </xf>
    <xf numFmtId="165" fontId="4" fillId="6" borderId="3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165" fontId="4" fillId="6" borderId="51" xfId="0" applyNumberFormat="1" applyFont="1" applyFill="1" applyBorder="1" applyAlignment="1">
      <alignment horizontal="center" vertical="center"/>
    </xf>
    <xf numFmtId="165" fontId="1" fillId="6" borderId="51" xfId="0" applyNumberFormat="1" applyFont="1" applyFill="1" applyBorder="1" applyAlignment="1">
      <alignment horizontal="center" vertical="center"/>
    </xf>
    <xf numFmtId="1" fontId="4" fillId="6" borderId="32" xfId="0" applyNumberFormat="1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1" fontId="4" fillId="6" borderId="22" xfId="0" applyNumberFormat="1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 vertical="center"/>
    </xf>
    <xf numFmtId="165" fontId="4" fillId="6" borderId="22" xfId="0" applyNumberFormat="1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4" fillId="6" borderId="28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2" xfId="0" applyFont="1" applyFill="1" applyBorder="1" applyAlignment="1">
      <alignment horizontal="center" vertical="center"/>
    </xf>
    <xf numFmtId="1" fontId="4" fillId="6" borderId="37" xfId="0" applyNumberFormat="1" applyFont="1" applyFill="1" applyBorder="1" applyAlignment="1">
      <alignment vertical="center"/>
    </xf>
    <xf numFmtId="1" fontId="4" fillId="6" borderId="37" xfId="0" applyNumberFormat="1" applyFont="1" applyFill="1" applyBorder="1" applyAlignment="1"/>
    <xf numFmtId="0" fontId="4" fillId="6" borderId="31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/>
    </xf>
    <xf numFmtId="1" fontId="4" fillId="6" borderId="37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65" fontId="4" fillId="6" borderId="39" xfId="0" applyNumberFormat="1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165" fontId="4" fillId="6" borderId="63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4" fillId="0" borderId="35" xfId="0" applyFont="1" applyBorder="1" applyAlignment="1">
      <alignment vertical="center"/>
    </xf>
    <xf numFmtId="1" fontId="4" fillId="6" borderId="35" xfId="0" applyNumberFormat="1" applyFont="1" applyFill="1" applyBorder="1" applyAlignment="1">
      <alignment horizontal="center" vertical="center"/>
    </xf>
    <xf numFmtId="1" fontId="4" fillId="6" borderId="59" xfId="0" applyNumberFormat="1" applyFont="1" applyFill="1" applyBorder="1" applyAlignment="1">
      <alignment horizontal="center" vertical="center"/>
    </xf>
    <xf numFmtId="165" fontId="4" fillId="6" borderId="35" xfId="0" applyNumberFormat="1" applyFont="1" applyFill="1" applyBorder="1" applyAlignment="1">
      <alignment horizontal="center" vertical="center"/>
    </xf>
    <xf numFmtId="165" fontId="4" fillId="6" borderId="42" xfId="0" applyNumberFormat="1" applyFont="1" applyFill="1" applyBorder="1" applyAlignment="1">
      <alignment horizontal="center" vertical="center"/>
    </xf>
    <xf numFmtId="165" fontId="4" fillId="6" borderId="4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/>
    <xf numFmtId="0" fontId="4" fillId="7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5" fillId="11" borderId="5" xfId="0" applyFont="1" applyFill="1" applyBorder="1" applyAlignment="1">
      <alignment horizontal="center"/>
    </xf>
    <xf numFmtId="0" fontId="15" fillId="12" borderId="5" xfId="0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5" fillId="1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2" fillId="3" borderId="6" xfId="0" applyNumberFormat="1" applyFont="1" applyFill="1" applyBorder="1" applyAlignment="1">
      <alignment horizontal="center" wrapText="1"/>
    </xf>
    <xf numFmtId="0" fontId="3" fillId="3" borderId="6" xfId="0" applyFont="1" applyFill="1" applyBorder="1"/>
    <xf numFmtId="0" fontId="3" fillId="3" borderId="7" xfId="0" applyFont="1" applyFill="1" applyBorder="1"/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2" xfId="0" applyFont="1" applyFill="1" applyBorder="1" applyAlignment="1" applyProtection="1">
      <alignment horizontal="center" vertical="center"/>
      <protection locked="0"/>
    </xf>
    <xf numFmtId="0" fontId="4" fillId="7" borderId="3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" xfId="0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4" fillId="6" borderId="31" xfId="0" applyNumberFormat="1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6" borderId="53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6" borderId="36" xfId="0" applyNumberFormat="1" applyFont="1" applyFill="1" applyBorder="1" applyAlignment="1">
      <alignment horizontal="center" vertical="center"/>
    </xf>
    <xf numFmtId="1" fontId="4" fillId="6" borderId="37" xfId="0" applyNumberFormat="1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165" fontId="4" fillId="6" borderId="36" xfId="0" applyNumberFormat="1" applyFont="1" applyFill="1" applyBorder="1" applyAlignment="1">
      <alignment horizontal="center" vertical="center"/>
    </xf>
    <xf numFmtId="165" fontId="4" fillId="6" borderId="37" xfId="0" applyNumberFormat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61" xfId="0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61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9" xfId="0" applyFont="1" applyFill="1" applyBorder="1" applyAlignment="1">
      <alignment horizontal="center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1" fontId="4" fillId="6" borderId="45" xfId="0" applyNumberFormat="1" applyFont="1" applyFill="1" applyBorder="1" applyAlignment="1">
      <alignment horizontal="center" vertical="center"/>
    </xf>
    <xf numFmtId="1" fontId="4" fillId="6" borderId="25" xfId="0" applyNumberFormat="1" applyFont="1" applyFill="1" applyBorder="1" applyAlignment="1">
      <alignment horizontal="center" vertical="center"/>
    </xf>
    <xf numFmtId="1" fontId="4" fillId="6" borderId="46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" fontId="4" fillId="6" borderId="53" xfId="0" applyNumberFormat="1" applyFont="1" applyFill="1" applyBorder="1" applyAlignment="1">
      <alignment horizontal="center" vertical="center"/>
    </xf>
    <xf numFmtId="1" fontId="4" fillId="6" borderId="54" xfId="0" applyNumberFormat="1" applyFont="1" applyFill="1" applyBorder="1" applyAlignment="1">
      <alignment horizontal="center" vertical="center"/>
    </xf>
    <xf numFmtId="1" fontId="4" fillId="6" borderId="55" xfId="0" applyNumberFormat="1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1" fontId="4" fillId="6" borderId="36" xfId="0" applyNumberFormat="1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6" borderId="37" xfId="0" applyFont="1" applyFill="1" applyBorder="1" applyAlignment="1">
      <alignment horizontal="center"/>
    </xf>
    <xf numFmtId="165" fontId="4" fillId="6" borderId="36" xfId="0" applyNumberFormat="1" applyFont="1" applyFill="1" applyBorder="1" applyAlignment="1">
      <alignment horizontal="center"/>
    </xf>
    <xf numFmtId="165" fontId="4" fillId="6" borderId="2" xfId="0" applyNumberFormat="1" applyFont="1" applyFill="1" applyBorder="1" applyAlignment="1">
      <alignment horizontal="center"/>
    </xf>
    <xf numFmtId="165" fontId="4" fillId="6" borderId="37" xfId="0" applyNumberFormat="1" applyFont="1" applyFill="1" applyBorder="1" applyAlignment="1">
      <alignment horizontal="center"/>
    </xf>
    <xf numFmtId="0" fontId="4" fillId="0" borderId="41" xfId="0" applyFont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61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 wrapText="1"/>
    </xf>
    <xf numFmtId="0" fontId="4" fillId="9" borderId="61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1" fontId="4" fillId="6" borderId="2" xfId="0" applyNumberFormat="1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65" fontId="4" fillId="6" borderId="23" xfId="0" applyNumberFormat="1" applyFont="1" applyFill="1" applyBorder="1" applyAlignment="1">
      <alignment horizontal="center" vertical="center"/>
    </xf>
    <xf numFmtId="165" fontId="4" fillId="6" borderId="39" xfId="0" applyNumberFormat="1" applyFont="1" applyFill="1" applyBorder="1" applyAlignment="1">
      <alignment horizontal="center" vertical="center"/>
    </xf>
    <xf numFmtId="165" fontId="4" fillId="6" borderId="59" xfId="0" applyNumberFormat="1" applyFont="1" applyFill="1" applyBorder="1" applyAlignment="1">
      <alignment horizontal="center" vertical="center"/>
    </xf>
    <xf numFmtId="165" fontId="4" fillId="6" borderId="60" xfId="0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" fontId="4" fillId="6" borderId="56" xfId="0" applyNumberFormat="1" applyFont="1" applyFill="1" applyBorder="1" applyAlignment="1">
      <alignment horizontal="center" vertical="center"/>
    </xf>
    <xf numFmtId="1" fontId="4" fillId="6" borderId="57" xfId="0" applyNumberFormat="1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1" fontId="4" fillId="6" borderId="23" xfId="0" applyNumberFormat="1" applyFont="1" applyFill="1" applyBorder="1" applyAlignment="1">
      <alignment horizontal="center" vertical="center"/>
    </xf>
    <xf numFmtId="1" fontId="4" fillId="6" borderId="39" xfId="0" applyNumberFormat="1" applyFont="1" applyFill="1" applyBorder="1" applyAlignment="1">
      <alignment horizontal="center" vertical="center"/>
    </xf>
    <xf numFmtId="165" fontId="4" fillId="6" borderId="28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/>
    </xf>
    <xf numFmtId="1" fontId="4" fillId="6" borderId="42" xfId="0" applyNumberFormat="1" applyFont="1" applyFill="1" applyBorder="1" applyAlignment="1">
      <alignment horizontal="center"/>
    </xf>
    <xf numFmtId="1" fontId="4" fillId="6" borderId="21" xfId="0" applyNumberFormat="1" applyFont="1" applyFill="1" applyBorder="1" applyAlignment="1">
      <alignment horizontal="center"/>
    </xf>
    <xf numFmtId="1" fontId="4" fillId="6" borderId="41" xfId="0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6" borderId="42" xfId="0" applyNumberFormat="1" applyFont="1" applyFill="1" applyBorder="1" applyAlignment="1">
      <alignment horizontal="center" vertical="center"/>
    </xf>
    <xf numFmtId="1" fontId="4" fillId="6" borderId="41" xfId="0" applyNumberFormat="1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/>
    <xf numFmtId="0" fontId="3" fillId="3" borderId="3" xfId="0" applyFont="1" applyFill="1" applyBorder="1"/>
    <xf numFmtId="0" fontId="4" fillId="7" borderId="2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16" fillId="12" borderId="3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1" borderId="3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11" borderId="8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/>
    </xf>
    <xf numFmtId="0" fontId="18" fillId="11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2" fontId="6" fillId="0" borderId="20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/>
    </xf>
    <xf numFmtId="2" fontId="6" fillId="0" borderId="10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0" fontId="15" fillId="0" borderId="18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28575</xdr:rowOff>
    </xdr:to>
    <xdr:sp macro="" textlink="">
      <xdr:nvSpPr>
        <xdr:cNvPr id="1025" name="AutoShape 1" descr="Prematuros Hsjd - Home | Facebook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581025</xdr:colOff>
      <xdr:row>0</xdr:row>
      <xdr:rowOff>38100</xdr:rowOff>
    </xdr:from>
    <xdr:to>
      <xdr:col>0</xdr:col>
      <xdr:colOff>1181100</xdr:colOff>
      <xdr:row>2</xdr:row>
      <xdr:rowOff>161925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38100"/>
          <a:ext cx="60007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topLeftCell="A30" zoomScale="70" zoomScaleNormal="70" workbookViewId="0">
      <selection activeCell="B6" sqref="B6"/>
    </sheetView>
  </sheetViews>
  <sheetFormatPr baseColWidth="10" defaultRowHeight="15" x14ac:dyDescent="0.25"/>
  <cols>
    <col min="1" max="1" width="44.7109375" bestFit="1" customWidth="1"/>
    <col min="2" max="2" width="20.140625" customWidth="1"/>
    <col min="3" max="3" width="20.7109375" customWidth="1"/>
    <col min="4" max="4" width="37.85546875" bestFit="1" customWidth="1"/>
    <col min="5" max="5" width="32.85546875" bestFit="1" customWidth="1"/>
    <col min="6" max="6" width="8.28515625" customWidth="1"/>
    <col min="7" max="7" width="13.28515625" customWidth="1"/>
    <col min="8" max="8" width="12.5703125" bestFit="1" customWidth="1"/>
    <col min="9" max="9" width="33.42578125" bestFit="1" customWidth="1"/>
    <col min="10" max="10" width="12.5703125" customWidth="1"/>
  </cols>
  <sheetData>
    <row r="1" spans="1:11" ht="24" thickBot="1" x14ac:dyDescent="0.4">
      <c r="A1" s="248" t="s">
        <v>0</v>
      </c>
      <c r="B1" s="249"/>
      <c r="C1" s="249"/>
      <c r="D1" s="249"/>
      <c r="E1" s="249"/>
      <c r="F1" s="249"/>
      <c r="G1" s="249"/>
      <c r="H1" s="2" t="s">
        <v>1</v>
      </c>
      <c r="I1" s="250">
        <f ca="1">+TODAY()</f>
        <v>46060</v>
      </c>
      <c r="J1" s="251"/>
      <c r="K1" s="252"/>
    </row>
    <row r="2" spans="1:11" ht="15.75" thickBot="1" x14ac:dyDescent="0.3"/>
    <row r="3" spans="1:11" ht="21.75" thickBot="1" x14ac:dyDescent="0.3">
      <c r="A3" s="29" t="s">
        <v>2</v>
      </c>
      <c r="B3" s="253"/>
      <c r="C3" s="254"/>
      <c r="D3" s="254"/>
      <c r="E3" s="254"/>
      <c r="F3" s="254"/>
      <c r="G3" s="254"/>
      <c r="H3" s="254"/>
      <c r="I3" s="254"/>
      <c r="J3" s="254"/>
      <c r="K3" s="255"/>
    </row>
    <row r="4" spans="1:11" ht="21.75" thickBot="1" x14ac:dyDescent="0.3">
      <c r="A4" s="29" t="s">
        <v>3</v>
      </c>
      <c r="B4" s="256"/>
      <c r="C4" s="257"/>
      <c r="D4" s="257"/>
      <c r="E4" s="257"/>
      <c r="F4" s="257"/>
      <c r="G4" s="257"/>
      <c r="H4" s="257"/>
      <c r="I4" s="257"/>
      <c r="J4" s="257"/>
      <c r="K4" s="258"/>
    </row>
    <row r="5" spans="1:11" ht="44.25" customHeight="1" thickBot="1" x14ac:dyDescent="0.3">
      <c r="A5" s="29" t="s">
        <v>4</v>
      </c>
      <c r="B5" s="90"/>
      <c r="C5" s="29" t="s">
        <v>6</v>
      </c>
      <c r="D5" s="31">
        <f ca="1">(I1-B5)</f>
        <v>46060</v>
      </c>
      <c r="E5" s="29" t="s">
        <v>9</v>
      </c>
      <c r="F5" s="92"/>
      <c r="G5" s="259" t="s">
        <v>10</v>
      </c>
      <c r="H5" s="260"/>
      <c r="I5" s="87">
        <f ca="1">F5+(D5/7)</f>
        <v>6580</v>
      </c>
      <c r="J5" s="32" t="s">
        <v>11</v>
      </c>
      <c r="K5" s="33">
        <f ca="1">((F5+(D5/7))-(INT(I5)))*7</f>
        <v>0</v>
      </c>
    </row>
    <row r="6" spans="1:11" ht="21.75" thickBot="1" x14ac:dyDescent="0.3">
      <c r="A6" s="29" t="s">
        <v>5</v>
      </c>
      <c r="B6" s="91">
        <v>5000</v>
      </c>
      <c r="C6" s="29" t="s">
        <v>7</v>
      </c>
      <c r="D6" s="92"/>
      <c r="E6" s="29" t="s">
        <v>8</v>
      </c>
      <c r="F6" s="37">
        <f>(0.05*(B6/1000))+0.05</f>
        <v>0.3</v>
      </c>
      <c r="G6" s="216" t="s">
        <v>154</v>
      </c>
      <c r="H6" s="217"/>
      <c r="I6" s="93"/>
      <c r="J6" s="3"/>
      <c r="K6" s="3"/>
    </row>
    <row r="7" spans="1:11" ht="15.75" thickBot="1" x14ac:dyDescent="0.3"/>
    <row r="8" spans="1:11" ht="24" thickBot="1" x14ac:dyDescent="0.4">
      <c r="A8" s="240" t="s">
        <v>12</v>
      </c>
      <c r="B8" s="241"/>
      <c r="C8" s="241"/>
      <c r="D8" s="241"/>
      <c r="E8" s="241"/>
      <c r="F8" s="241"/>
      <c r="G8" s="241"/>
      <c r="H8" s="241"/>
      <c r="I8" s="241"/>
      <c r="J8" s="242"/>
      <c r="K8" s="1"/>
    </row>
    <row r="9" spans="1:11" ht="21.75" thickBot="1" x14ac:dyDescent="0.3">
      <c r="A9" s="245" t="s">
        <v>13</v>
      </c>
      <c r="B9" s="247"/>
      <c r="C9" s="247"/>
      <c r="D9" s="246"/>
      <c r="E9" s="245" t="s">
        <v>62</v>
      </c>
      <c r="F9" s="247"/>
      <c r="G9" s="247"/>
      <c r="H9" s="247"/>
      <c r="I9" s="247"/>
      <c r="J9" s="246"/>
    </row>
    <row r="10" spans="1:11" ht="63.75" thickBot="1" x14ac:dyDescent="0.3">
      <c r="A10" s="15" t="s">
        <v>14</v>
      </c>
      <c r="B10" s="14" t="s">
        <v>30</v>
      </c>
      <c r="C10" s="14" t="s">
        <v>43</v>
      </c>
      <c r="D10" s="14" t="s">
        <v>48</v>
      </c>
      <c r="E10" s="243" t="s">
        <v>63</v>
      </c>
      <c r="F10" s="244"/>
      <c r="G10" s="245" t="s">
        <v>66</v>
      </c>
      <c r="H10" s="246"/>
      <c r="I10" s="14" t="s">
        <v>68</v>
      </c>
      <c r="J10" s="14" t="s">
        <v>69</v>
      </c>
    </row>
    <row r="11" spans="1:11" ht="21.75" thickBot="1" x14ac:dyDescent="0.3">
      <c r="A11" s="9" t="s">
        <v>15</v>
      </c>
      <c r="B11" s="9" t="s">
        <v>31</v>
      </c>
      <c r="C11" s="8" t="s">
        <v>44</v>
      </c>
      <c r="D11" s="94" t="s">
        <v>49</v>
      </c>
      <c r="E11" s="95">
        <f>(0.1*B6)/1000</f>
        <v>0.5</v>
      </c>
      <c r="F11" s="17" t="s">
        <v>64</v>
      </c>
      <c r="G11" s="17">
        <f>(E11/3)</f>
        <v>0.16666666666666666</v>
      </c>
      <c r="H11" s="21" t="s">
        <v>67</v>
      </c>
      <c r="I11" s="5" t="s">
        <v>70</v>
      </c>
      <c r="J11" s="24" t="s">
        <v>80</v>
      </c>
    </row>
    <row r="12" spans="1:11" ht="22.5" customHeight="1" thickBot="1" x14ac:dyDescent="0.3">
      <c r="A12" s="231" t="s">
        <v>16</v>
      </c>
      <c r="B12" s="238" t="s">
        <v>32</v>
      </c>
      <c r="C12" s="5" t="s">
        <v>44</v>
      </c>
      <c r="D12" s="94" t="s">
        <v>50</v>
      </c>
      <c r="E12" s="96">
        <f>(0.03*B6)/1000</f>
        <v>0.15</v>
      </c>
      <c r="F12" s="17" t="s">
        <v>64</v>
      </c>
      <c r="G12" s="19">
        <f>(E12/0.1)</f>
        <v>1.4999999999999998</v>
      </c>
      <c r="H12" s="21" t="s">
        <v>67</v>
      </c>
      <c r="I12" s="231" t="s">
        <v>81</v>
      </c>
      <c r="J12" s="238" t="s">
        <v>72</v>
      </c>
    </row>
    <row r="13" spans="1:11" ht="18" customHeight="1" thickBot="1" x14ac:dyDescent="0.3">
      <c r="A13" s="232"/>
      <c r="B13" s="239"/>
      <c r="C13" s="5" t="s">
        <v>45</v>
      </c>
      <c r="D13" s="94" t="s">
        <v>51</v>
      </c>
      <c r="E13" s="96">
        <f>(0.05*B6)/1000</f>
        <v>0.25</v>
      </c>
      <c r="F13" s="17" t="s">
        <v>64</v>
      </c>
      <c r="G13" s="17">
        <f>(E13/0.1)</f>
        <v>2.5</v>
      </c>
      <c r="H13" s="21" t="s">
        <v>67</v>
      </c>
      <c r="I13" s="232"/>
      <c r="J13" s="239"/>
    </row>
    <row r="14" spans="1:11" ht="21.75" thickBot="1" x14ac:dyDescent="0.3">
      <c r="A14" s="229" t="s">
        <v>17</v>
      </c>
      <c r="B14" s="229" t="s">
        <v>33</v>
      </c>
      <c r="C14" s="231" t="s">
        <v>44</v>
      </c>
      <c r="D14" s="94" t="s">
        <v>52</v>
      </c>
      <c r="E14" s="97">
        <f>(B6*20)/1000</f>
        <v>100</v>
      </c>
      <c r="F14" s="17" t="s">
        <v>64</v>
      </c>
      <c r="G14" s="17">
        <f>(E14/5)</f>
        <v>20</v>
      </c>
      <c r="H14" s="21" t="s">
        <v>67</v>
      </c>
      <c r="I14" s="231" t="s">
        <v>81</v>
      </c>
      <c r="J14" s="238" t="s">
        <v>133</v>
      </c>
    </row>
    <row r="15" spans="1:11" ht="19.5" customHeight="1" thickBot="1" x14ac:dyDescent="0.3">
      <c r="A15" s="230"/>
      <c r="B15" s="230"/>
      <c r="C15" s="232"/>
      <c r="D15" s="98" t="s">
        <v>53</v>
      </c>
      <c r="E15" s="97">
        <f>(B6*3)/1000</f>
        <v>15</v>
      </c>
      <c r="F15" s="17" t="s">
        <v>64</v>
      </c>
      <c r="G15" s="17">
        <f>E15/5</f>
        <v>3</v>
      </c>
      <c r="H15" s="21" t="s">
        <v>67</v>
      </c>
      <c r="I15" s="232"/>
      <c r="J15" s="239"/>
    </row>
    <row r="16" spans="1:11" ht="42.75" customHeight="1" thickBot="1" x14ac:dyDescent="0.3">
      <c r="A16" s="231" t="s">
        <v>18</v>
      </c>
      <c r="B16" s="231" t="s">
        <v>34</v>
      </c>
      <c r="C16" s="231" t="s">
        <v>44</v>
      </c>
      <c r="D16" s="94" t="s">
        <v>54</v>
      </c>
      <c r="E16" s="99">
        <f>(B6*20)/1000</f>
        <v>100</v>
      </c>
      <c r="F16" s="17" t="s">
        <v>64</v>
      </c>
      <c r="G16" s="19">
        <f>(E16/10)</f>
        <v>10</v>
      </c>
      <c r="H16" s="21" t="s">
        <v>67</v>
      </c>
      <c r="I16" s="231" t="s">
        <v>81</v>
      </c>
      <c r="J16" s="238" t="s">
        <v>73</v>
      </c>
    </row>
    <row r="17" spans="1:10" ht="21.75" thickBot="1" x14ac:dyDescent="0.3">
      <c r="A17" s="232"/>
      <c r="B17" s="232"/>
      <c r="C17" s="232"/>
      <c r="D17" s="94" t="s">
        <v>53</v>
      </c>
      <c r="E17" s="99">
        <f>(B6*3)/1000</f>
        <v>15</v>
      </c>
      <c r="F17" s="17" t="s">
        <v>64</v>
      </c>
      <c r="G17" s="19">
        <f>(E17/10)</f>
        <v>1.5</v>
      </c>
      <c r="H17" s="21" t="s">
        <v>67</v>
      </c>
      <c r="I17" s="232"/>
      <c r="J17" s="239"/>
    </row>
    <row r="18" spans="1:10" ht="42.75" thickBot="1" x14ac:dyDescent="0.3">
      <c r="A18" s="6" t="s">
        <v>19</v>
      </c>
      <c r="B18" s="6" t="s">
        <v>35</v>
      </c>
      <c r="C18" s="6" t="s">
        <v>44</v>
      </c>
      <c r="D18" s="100" t="s">
        <v>55</v>
      </c>
      <c r="E18" s="96">
        <f>(B6*1)/1000</f>
        <v>5</v>
      </c>
      <c r="F18" s="18" t="s">
        <v>65</v>
      </c>
      <c r="G18" s="17">
        <f>(E18/10)</f>
        <v>0.5</v>
      </c>
      <c r="H18" s="21" t="s">
        <v>67</v>
      </c>
      <c r="I18" s="27" t="s">
        <v>82</v>
      </c>
      <c r="J18" s="8" t="s">
        <v>73</v>
      </c>
    </row>
    <row r="19" spans="1:10" ht="63.75" thickBot="1" x14ac:dyDescent="0.3">
      <c r="A19" s="5" t="s">
        <v>20</v>
      </c>
      <c r="B19" s="5" t="s">
        <v>36</v>
      </c>
      <c r="C19" s="5" t="s">
        <v>44</v>
      </c>
      <c r="D19" s="94" t="s">
        <v>56</v>
      </c>
      <c r="E19" s="96">
        <f>(B6*5)/1000</f>
        <v>25</v>
      </c>
      <c r="F19" s="17" t="s">
        <v>65</v>
      </c>
      <c r="G19" s="17">
        <f>(E19/100)</f>
        <v>0.25</v>
      </c>
      <c r="H19" s="21" t="s">
        <v>67</v>
      </c>
      <c r="I19" s="8" t="s">
        <v>82</v>
      </c>
      <c r="J19" s="8" t="s">
        <v>74</v>
      </c>
    </row>
    <row r="20" spans="1:10" ht="42.75" thickBot="1" x14ac:dyDescent="0.3">
      <c r="A20" s="5" t="s">
        <v>21</v>
      </c>
      <c r="B20" s="5" t="s">
        <v>37</v>
      </c>
      <c r="C20" s="5" t="s">
        <v>46</v>
      </c>
      <c r="D20" s="94" t="s">
        <v>57</v>
      </c>
      <c r="E20" s="96">
        <f>(B6*40)/1000</f>
        <v>200</v>
      </c>
      <c r="F20" s="17" t="s">
        <v>64</v>
      </c>
      <c r="G20" s="17">
        <f>(E20/100)</f>
        <v>2</v>
      </c>
      <c r="H20" s="21" t="s">
        <v>67</v>
      </c>
      <c r="I20" s="8" t="s">
        <v>75</v>
      </c>
      <c r="J20" s="8" t="s">
        <v>76</v>
      </c>
    </row>
    <row r="21" spans="1:10" ht="21.75" thickBot="1" x14ac:dyDescent="0.3">
      <c r="A21" s="231" t="s">
        <v>22</v>
      </c>
      <c r="B21" s="231" t="s">
        <v>33</v>
      </c>
      <c r="C21" s="233" t="s">
        <v>44</v>
      </c>
      <c r="D21" s="94" t="s">
        <v>153</v>
      </c>
      <c r="E21" s="96">
        <f>(B6*40)/1000</f>
        <v>200</v>
      </c>
      <c r="F21" s="17" t="s">
        <v>64</v>
      </c>
      <c r="G21" s="17">
        <f>(E21/5)</f>
        <v>40</v>
      </c>
      <c r="H21" s="21" t="s">
        <v>67</v>
      </c>
      <c r="I21" s="238" t="s">
        <v>82</v>
      </c>
      <c r="J21" s="238" t="s">
        <v>77</v>
      </c>
    </row>
    <row r="22" spans="1:10" ht="20.25" customHeight="1" thickBot="1" x14ac:dyDescent="0.3">
      <c r="A22" s="232"/>
      <c r="B22" s="232"/>
      <c r="C22" s="234"/>
      <c r="D22" s="94" t="s">
        <v>58</v>
      </c>
      <c r="E22" s="101">
        <f>(B6*40)/1000</f>
        <v>200</v>
      </c>
      <c r="F22" s="17" t="s">
        <v>64</v>
      </c>
      <c r="G22" s="17">
        <f>(E22/5)</f>
        <v>40</v>
      </c>
      <c r="H22" s="21" t="s">
        <v>67</v>
      </c>
      <c r="I22" s="239"/>
      <c r="J22" s="239"/>
    </row>
    <row r="23" spans="1:10" ht="42.75" thickBot="1" x14ac:dyDescent="0.3">
      <c r="A23" s="6" t="s">
        <v>23</v>
      </c>
      <c r="B23" s="6" t="s">
        <v>38</v>
      </c>
      <c r="C23" s="6" t="s">
        <v>44</v>
      </c>
      <c r="D23" s="100" t="s">
        <v>51</v>
      </c>
      <c r="E23" s="102">
        <f>(B6*0.05)/1000</f>
        <v>0.25</v>
      </c>
      <c r="F23" s="17" t="s">
        <v>64</v>
      </c>
      <c r="G23" s="19">
        <f>(E23/2)</f>
        <v>0.125</v>
      </c>
      <c r="H23" s="22" t="s">
        <v>67</v>
      </c>
      <c r="I23" s="27" t="s">
        <v>70</v>
      </c>
      <c r="J23" s="27" t="s">
        <v>77</v>
      </c>
    </row>
    <row r="24" spans="1:10" ht="42.75" thickBot="1" x14ac:dyDescent="0.3">
      <c r="A24" s="5" t="s">
        <v>24</v>
      </c>
      <c r="B24" s="5" t="s">
        <v>39</v>
      </c>
      <c r="C24" s="5" t="s">
        <v>44</v>
      </c>
      <c r="D24" s="94" t="s">
        <v>49</v>
      </c>
      <c r="E24" s="96">
        <f>(B6*0.1)/1000</f>
        <v>0.5</v>
      </c>
      <c r="F24" s="17" t="s">
        <v>64</v>
      </c>
      <c r="G24" s="17">
        <f>(E24/1)</f>
        <v>0.5</v>
      </c>
      <c r="H24" s="21" t="s">
        <v>67</v>
      </c>
      <c r="I24" s="8" t="s">
        <v>81</v>
      </c>
      <c r="J24" s="8" t="s">
        <v>72</v>
      </c>
    </row>
    <row r="25" spans="1:10" ht="42.75" thickBot="1" x14ac:dyDescent="0.3">
      <c r="A25" s="7" t="s">
        <v>25</v>
      </c>
      <c r="B25" s="7" t="s">
        <v>39</v>
      </c>
      <c r="C25" s="7" t="s">
        <v>44</v>
      </c>
      <c r="D25" s="98" t="s">
        <v>59</v>
      </c>
      <c r="E25" s="103">
        <f>(B6*0.2)/1000</f>
        <v>1</v>
      </c>
      <c r="F25" s="17" t="s">
        <v>64</v>
      </c>
      <c r="G25" s="20">
        <f>(E25/1)</f>
        <v>1</v>
      </c>
      <c r="H25" s="28" t="s">
        <v>67</v>
      </c>
      <c r="I25" s="9" t="s">
        <v>82</v>
      </c>
      <c r="J25" s="9" t="s">
        <v>73</v>
      </c>
    </row>
    <row r="26" spans="1:10" ht="42.75" thickBot="1" x14ac:dyDescent="0.3">
      <c r="A26" s="5" t="s">
        <v>26</v>
      </c>
      <c r="B26" s="5" t="s">
        <v>40</v>
      </c>
      <c r="C26" s="5" t="s">
        <v>44</v>
      </c>
      <c r="D26" s="94" t="s">
        <v>60</v>
      </c>
      <c r="E26" s="96">
        <f>(B6*0.1)/1000</f>
        <v>0.5</v>
      </c>
      <c r="F26" s="17" t="s">
        <v>64</v>
      </c>
      <c r="G26" s="17">
        <f>(E26/0.1)</f>
        <v>5</v>
      </c>
      <c r="H26" s="21" t="s">
        <v>67</v>
      </c>
      <c r="I26" s="8" t="s">
        <v>83</v>
      </c>
      <c r="J26" s="8" t="s">
        <v>73</v>
      </c>
    </row>
    <row r="27" spans="1:10" ht="42.75" thickBot="1" x14ac:dyDescent="0.3">
      <c r="A27" s="5" t="s">
        <v>27</v>
      </c>
      <c r="B27" s="5" t="s">
        <v>41</v>
      </c>
      <c r="C27" s="5" t="s">
        <v>47</v>
      </c>
      <c r="D27" s="94" t="s">
        <v>60</v>
      </c>
      <c r="E27" s="96">
        <f>(B6*0.1)/1000</f>
        <v>0.5</v>
      </c>
      <c r="F27" s="17" t="s">
        <v>64</v>
      </c>
      <c r="G27" s="17">
        <f>(E27/0.4)</f>
        <v>1.25</v>
      </c>
      <c r="H27" s="21" t="s">
        <v>67</v>
      </c>
      <c r="I27" s="8" t="s">
        <v>70</v>
      </c>
      <c r="J27" s="8" t="s">
        <v>84</v>
      </c>
    </row>
    <row r="28" spans="1:10" ht="63.75" thickBot="1" x14ac:dyDescent="0.3">
      <c r="A28" s="5" t="s">
        <v>28</v>
      </c>
      <c r="B28" s="5" t="s">
        <v>42</v>
      </c>
      <c r="C28" s="5" t="s">
        <v>44</v>
      </c>
      <c r="D28" s="94" t="s">
        <v>61</v>
      </c>
      <c r="E28" s="96">
        <f>(B6*1)/1000</f>
        <v>5</v>
      </c>
      <c r="F28" s="17" t="s">
        <v>64</v>
      </c>
      <c r="G28" s="17">
        <f>(E28/2)</f>
        <v>2.5</v>
      </c>
      <c r="H28" s="21" t="s">
        <v>67</v>
      </c>
      <c r="I28" s="8" t="s">
        <v>85</v>
      </c>
      <c r="J28" s="8" t="s">
        <v>79</v>
      </c>
    </row>
    <row r="29" spans="1:10" ht="42.75" thickBot="1" x14ac:dyDescent="0.3">
      <c r="A29" s="8" t="s">
        <v>29</v>
      </c>
      <c r="B29" s="8" t="s">
        <v>39</v>
      </c>
      <c r="C29" s="8" t="s">
        <v>44</v>
      </c>
      <c r="D29" s="104" t="s">
        <v>60</v>
      </c>
      <c r="E29" s="95">
        <f>(B6*0.1)/1000</f>
        <v>0.5</v>
      </c>
      <c r="F29" s="17" t="s">
        <v>64</v>
      </c>
      <c r="G29" s="16">
        <f>(E29/1)</f>
        <v>0.5</v>
      </c>
      <c r="H29" s="23" t="s">
        <v>67</v>
      </c>
      <c r="I29" s="8" t="s">
        <v>214</v>
      </c>
      <c r="J29" s="8" t="s">
        <v>73</v>
      </c>
    </row>
    <row r="30" spans="1:10" ht="15.75" thickBot="1" x14ac:dyDescent="0.3"/>
    <row r="31" spans="1:10" ht="24" thickBot="1" x14ac:dyDescent="0.4">
      <c r="A31" s="235" t="s">
        <v>86</v>
      </c>
      <c r="B31" s="236"/>
      <c r="C31" s="236"/>
      <c r="D31" s="236"/>
      <c r="E31" s="236"/>
      <c r="F31" s="236"/>
      <c r="G31" s="236"/>
      <c r="H31" s="237"/>
      <c r="I31" s="1"/>
    </row>
    <row r="32" spans="1:10" ht="21.75" thickBot="1" x14ac:dyDescent="0.4">
      <c r="A32" s="224" t="s">
        <v>13</v>
      </c>
      <c r="B32" s="225"/>
      <c r="C32" s="226"/>
      <c r="D32" s="224" t="s">
        <v>62</v>
      </c>
      <c r="E32" s="225"/>
      <c r="F32" s="225"/>
      <c r="G32" s="225"/>
      <c r="H32" s="226"/>
      <c r="I32" s="38"/>
    </row>
    <row r="33" spans="1:8" ht="42.75" thickBot="1" x14ac:dyDescent="0.4">
      <c r="A33" s="35" t="s">
        <v>14</v>
      </c>
      <c r="B33" s="36" t="s">
        <v>94</v>
      </c>
      <c r="C33" s="36" t="s">
        <v>95</v>
      </c>
      <c r="D33" s="35" t="s">
        <v>157</v>
      </c>
      <c r="E33" s="227" t="s">
        <v>111</v>
      </c>
      <c r="F33" s="228"/>
      <c r="G33" s="222" t="s">
        <v>112</v>
      </c>
      <c r="H33" s="223"/>
    </row>
    <row r="34" spans="1:8" ht="63.75" thickBot="1" x14ac:dyDescent="0.4">
      <c r="A34" s="5" t="s">
        <v>16</v>
      </c>
      <c r="B34" s="13" t="s">
        <v>96</v>
      </c>
      <c r="C34" s="8" t="s">
        <v>97</v>
      </c>
      <c r="D34" s="101">
        <v>1</v>
      </c>
      <c r="E34" s="218" t="s">
        <v>113</v>
      </c>
      <c r="F34" s="219"/>
      <c r="G34" s="17">
        <f>(B6*D34*60*24)/1000/1000</f>
        <v>7.2</v>
      </c>
      <c r="H34" s="21" t="s">
        <v>64</v>
      </c>
    </row>
    <row r="35" spans="1:8" ht="60.75" customHeight="1" thickBot="1" x14ac:dyDescent="0.4">
      <c r="A35" s="12" t="s">
        <v>87</v>
      </c>
      <c r="B35" s="25" t="s">
        <v>98</v>
      </c>
      <c r="C35" s="12" t="s">
        <v>99</v>
      </c>
      <c r="D35" s="101">
        <v>0.01</v>
      </c>
      <c r="E35" s="220" t="s">
        <v>113</v>
      </c>
      <c r="F35" s="221"/>
      <c r="G35" s="17">
        <f>(B6*D35*60*24)/1000</f>
        <v>72</v>
      </c>
      <c r="H35" s="21" t="s">
        <v>65</v>
      </c>
    </row>
    <row r="36" spans="1:8" ht="63.75" thickBot="1" x14ac:dyDescent="0.4">
      <c r="A36" s="10" t="s">
        <v>88</v>
      </c>
      <c r="B36" s="25" t="s">
        <v>100</v>
      </c>
      <c r="C36" s="8" t="s">
        <v>97</v>
      </c>
      <c r="D36" s="101">
        <v>20</v>
      </c>
      <c r="E36" s="220" t="s">
        <v>113</v>
      </c>
      <c r="F36" s="221"/>
      <c r="G36" s="17">
        <f>(B6*D36*60*24)/1000/1000</f>
        <v>144</v>
      </c>
      <c r="H36" s="21" t="s">
        <v>64</v>
      </c>
    </row>
    <row r="37" spans="1:8" ht="63.75" thickBot="1" x14ac:dyDescent="0.3">
      <c r="A37" s="10" t="s">
        <v>89</v>
      </c>
      <c r="B37" s="12" t="s">
        <v>101</v>
      </c>
      <c r="C37" s="8" t="s">
        <v>97</v>
      </c>
      <c r="D37" s="101">
        <v>20</v>
      </c>
      <c r="E37" s="220" t="s">
        <v>113</v>
      </c>
      <c r="F37" s="221"/>
      <c r="G37" s="17">
        <f>(B6*D37*60*24)/1000/1000</f>
        <v>144</v>
      </c>
      <c r="H37" s="21" t="s">
        <v>64</v>
      </c>
    </row>
    <row r="38" spans="1:8" ht="42.75" thickBot="1" x14ac:dyDescent="0.3">
      <c r="A38" s="10" t="s">
        <v>19</v>
      </c>
      <c r="B38" s="12" t="s">
        <v>102</v>
      </c>
      <c r="C38" s="12" t="s">
        <v>99</v>
      </c>
      <c r="D38" s="101">
        <v>5</v>
      </c>
      <c r="E38" s="220" t="s">
        <v>114</v>
      </c>
      <c r="F38" s="221"/>
      <c r="G38" s="21">
        <f>(B6*D38*24)/1000</f>
        <v>600</v>
      </c>
      <c r="H38" s="21" t="s">
        <v>65</v>
      </c>
    </row>
    <row r="39" spans="1:8" ht="42.75" thickBot="1" x14ac:dyDescent="0.3">
      <c r="A39" s="10" t="s">
        <v>90</v>
      </c>
      <c r="B39" s="12" t="s">
        <v>103</v>
      </c>
      <c r="C39" s="12" t="s">
        <v>71</v>
      </c>
      <c r="D39" s="101">
        <v>0.1</v>
      </c>
      <c r="E39" s="220" t="s">
        <v>115</v>
      </c>
      <c r="F39" s="221"/>
      <c r="G39" s="17">
        <f>(B6*D39*24)/1000</f>
        <v>12</v>
      </c>
      <c r="H39" s="21" t="s">
        <v>116</v>
      </c>
    </row>
    <row r="40" spans="1:8" ht="42.75" thickBot="1" x14ac:dyDescent="0.3">
      <c r="A40" s="10" t="s">
        <v>25</v>
      </c>
      <c r="B40" s="12" t="s">
        <v>104</v>
      </c>
      <c r="C40" s="12" t="s">
        <v>99</v>
      </c>
      <c r="D40" s="101">
        <v>100</v>
      </c>
      <c r="E40" s="220" t="s">
        <v>114</v>
      </c>
      <c r="F40" s="221"/>
      <c r="G40" s="17">
        <f>(B6*D40*24)/1000/1000</f>
        <v>12</v>
      </c>
      <c r="H40" s="21" t="s">
        <v>64</v>
      </c>
    </row>
    <row r="41" spans="1:8" ht="42.75" thickBot="1" x14ac:dyDescent="0.3">
      <c r="A41" s="11" t="s">
        <v>91</v>
      </c>
      <c r="B41" s="26" t="s">
        <v>105</v>
      </c>
      <c r="C41" s="26" t="s">
        <v>99</v>
      </c>
      <c r="D41" s="105">
        <v>1</v>
      </c>
      <c r="E41" s="220" t="s">
        <v>113</v>
      </c>
      <c r="F41" s="221"/>
      <c r="G41" s="20">
        <f>(B6*60*24*D41)/1000/1000</f>
        <v>7.2</v>
      </c>
      <c r="H41" s="28" t="s">
        <v>64</v>
      </c>
    </row>
    <row r="42" spans="1:8" ht="63.75" thickBot="1" x14ac:dyDescent="0.3">
      <c r="A42" s="10" t="s">
        <v>26</v>
      </c>
      <c r="B42" s="12" t="s">
        <v>106</v>
      </c>
      <c r="C42" s="8" t="s">
        <v>97</v>
      </c>
      <c r="D42" s="101">
        <v>20</v>
      </c>
      <c r="E42" s="220" t="s">
        <v>114</v>
      </c>
      <c r="F42" s="221"/>
      <c r="G42" s="17">
        <f>(B6*D42*24)/1000/1000</f>
        <v>2.4</v>
      </c>
      <c r="H42" s="21" t="s">
        <v>64</v>
      </c>
    </row>
    <row r="43" spans="1:8" ht="63.75" thickBot="1" x14ac:dyDescent="0.3">
      <c r="A43" s="10" t="s">
        <v>92</v>
      </c>
      <c r="B43" s="12" t="s">
        <v>107</v>
      </c>
      <c r="C43" s="12" t="s">
        <v>78</v>
      </c>
      <c r="D43" s="101">
        <v>1</v>
      </c>
      <c r="E43" s="220" t="s">
        <v>113</v>
      </c>
      <c r="F43" s="221"/>
      <c r="G43" s="17">
        <f>(B6*D43*60*24)/1000/1000</f>
        <v>7.2</v>
      </c>
      <c r="H43" s="21" t="s">
        <v>64</v>
      </c>
    </row>
    <row r="44" spans="1:8" ht="42.75" thickBot="1" x14ac:dyDescent="0.4">
      <c r="A44" s="25" t="s">
        <v>93</v>
      </c>
      <c r="B44" s="12" t="s">
        <v>108</v>
      </c>
      <c r="C44" s="12" t="s">
        <v>99</v>
      </c>
      <c r="D44" s="101">
        <v>0.6</v>
      </c>
      <c r="E44" s="220" t="s">
        <v>114</v>
      </c>
      <c r="F44" s="221"/>
      <c r="G44" s="17">
        <f>(B6*D44*24)/1000</f>
        <v>72</v>
      </c>
      <c r="H44" s="21" t="s">
        <v>65</v>
      </c>
    </row>
    <row r="45" spans="1:8" ht="63.75" thickBot="1" x14ac:dyDescent="0.3">
      <c r="A45" s="10" t="s">
        <v>28</v>
      </c>
      <c r="B45" s="12" t="s">
        <v>109</v>
      </c>
      <c r="C45" s="12" t="s">
        <v>78</v>
      </c>
      <c r="D45" s="101">
        <v>3</v>
      </c>
      <c r="E45" s="220" t="s">
        <v>117</v>
      </c>
      <c r="F45" s="221"/>
      <c r="G45" s="21">
        <f>(B6*D45*24)/1000</f>
        <v>360</v>
      </c>
      <c r="H45" s="21" t="s">
        <v>64</v>
      </c>
    </row>
    <row r="46" spans="1:8" ht="42.75" thickBot="1" x14ac:dyDescent="0.4">
      <c r="A46" s="4" t="s">
        <v>29</v>
      </c>
      <c r="B46" s="12" t="s">
        <v>110</v>
      </c>
      <c r="C46" s="12" t="s">
        <v>99</v>
      </c>
      <c r="D46" s="101">
        <v>0.2</v>
      </c>
      <c r="E46" s="220" t="s">
        <v>117</v>
      </c>
      <c r="F46" s="221"/>
      <c r="G46" s="17">
        <f>(B6*D46*24)/1000</f>
        <v>24</v>
      </c>
      <c r="H46" s="21" t="s">
        <v>64</v>
      </c>
    </row>
  </sheetData>
  <sheetProtection sheet="1" objects="1" scenarios="1" selectLockedCells="1"/>
  <mergeCells count="48">
    <mergeCell ref="A1:G1"/>
    <mergeCell ref="I1:K1"/>
    <mergeCell ref="B3:K3"/>
    <mergeCell ref="B4:K4"/>
    <mergeCell ref="G5:H5"/>
    <mergeCell ref="A8:J8"/>
    <mergeCell ref="E10:F10"/>
    <mergeCell ref="G10:H10"/>
    <mergeCell ref="I12:I13"/>
    <mergeCell ref="J12:J13"/>
    <mergeCell ref="A12:A13"/>
    <mergeCell ref="B12:B13"/>
    <mergeCell ref="A9:D9"/>
    <mergeCell ref="E9:J9"/>
    <mergeCell ref="I14:I15"/>
    <mergeCell ref="J14:J15"/>
    <mergeCell ref="I16:I17"/>
    <mergeCell ref="I21:I22"/>
    <mergeCell ref="J21:J22"/>
    <mergeCell ref="J16:J17"/>
    <mergeCell ref="E33:F33"/>
    <mergeCell ref="A14:A15"/>
    <mergeCell ref="A16:A17"/>
    <mergeCell ref="A21:A22"/>
    <mergeCell ref="B14:B15"/>
    <mergeCell ref="B16:B17"/>
    <mergeCell ref="B21:B22"/>
    <mergeCell ref="C14:C15"/>
    <mergeCell ref="C16:C17"/>
    <mergeCell ref="C21:C22"/>
    <mergeCell ref="A31:H31"/>
    <mergeCell ref="A32:C32"/>
    <mergeCell ref="G6:H6"/>
    <mergeCell ref="E34:F34"/>
    <mergeCell ref="E46:F46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G33:H33"/>
    <mergeCell ref="D32:H32"/>
  </mergeCells>
  <pageMargins left="0.23622047244094491" right="0.23622047244094491" top="0.74803149606299213" bottom="0.74803149606299213" header="0.31496062992125984" footer="0.31496062992125984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zoomScale="50" zoomScaleNormal="50" workbookViewId="0">
      <selection activeCell="O2" sqref="O2"/>
    </sheetView>
  </sheetViews>
  <sheetFormatPr baseColWidth="10" defaultRowHeight="15" x14ac:dyDescent="0.25"/>
  <cols>
    <col min="1" max="1" width="47.7109375" bestFit="1" customWidth="1"/>
    <col min="2" max="2" width="18.140625" bestFit="1" customWidth="1"/>
    <col min="3" max="3" width="19.7109375" bestFit="1" customWidth="1"/>
    <col min="4" max="4" width="22.7109375" customWidth="1"/>
    <col min="5" max="5" width="34.42578125" bestFit="1" customWidth="1"/>
    <col min="6" max="6" width="17.140625" bestFit="1" customWidth="1"/>
    <col min="7" max="7" width="23.85546875" bestFit="1" customWidth="1"/>
    <col min="8" max="8" width="17.140625" bestFit="1" customWidth="1"/>
    <col min="9" max="10" width="23.85546875" bestFit="1" customWidth="1"/>
    <col min="11" max="11" width="17.140625" bestFit="1" customWidth="1"/>
    <col min="12" max="12" width="23.85546875" bestFit="1" customWidth="1"/>
    <col min="13" max="13" width="17.140625" bestFit="1" customWidth="1"/>
    <col min="14" max="14" width="25.140625" bestFit="1" customWidth="1"/>
    <col min="15" max="15" width="19.7109375" bestFit="1" customWidth="1"/>
    <col min="16" max="16" width="20.42578125" bestFit="1" customWidth="1"/>
    <col min="17" max="17" width="27" bestFit="1" customWidth="1"/>
  </cols>
  <sheetData>
    <row r="1" spans="1:17" ht="24" thickBot="1" x14ac:dyDescent="0.4">
      <c r="A1" s="248" t="s">
        <v>0</v>
      </c>
      <c r="B1" s="249"/>
      <c r="C1" s="249"/>
      <c r="D1" s="249"/>
      <c r="E1" s="249"/>
      <c r="F1" s="249"/>
      <c r="G1" s="249"/>
      <c r="H1" s="115" t="s">
        <v>1</v>
      </c>
      <c r="I1" s="250">
        <f ca="1">+TODAY()</f>
        <v>46060</v>
      </c>
      <c r="J1" s="251"/>
      <c r="K1" s="252"/>
      <c r="L1" s="196"/>
      <c r="M1" s="196"/>
      <c r="N1" s="114"/>
      <c r="O1" s="114"/>
      <c r="P1" s="114"/>
      <c r="Q1" s="114"/>
    </row>
    <row r="2" spans="1:17" ht="15.75" thickBot="1" x14ac:dyDescent="0.3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17" ht="21.75" thickBot="1" x14ac:dyDescent="0.3">
      <c r="A3" s="126" t="s">
        <v>2</v>
      </c>
      <c r="B3" s="399">
        <f>Medicamentos!B3</f>
        <v>0</v>
      </c>
      <c r="C3" s="400"/>
      <c r="D3" s="400"/>
      <c r="E3" s="400"/>
      <c r="F3" s="400"/>
      <c r="G3" s="400"/>
      <c r="H3" s="400"/>
      <c r="I3" s="400"/>
      <c r="J3" s="400"/>
      <c r="K3" s="401"/>
      <c r="L3" s="193"/>
      <c r="M3" s="193"/>
      <c r="N3" s="114"/>
      <c r="O3" s="114"/>
      <c r="P3" s="114"/>
      <c r="Q3" s="114"/>
    </row>
    <row r="4" spans="1:17" ht="24" thickBot="1" x14ac:dyDescent="0.3">
      <c r="A4" s="118" t="s">
        <v>3</v>
      </c>
      <c r="B4" s="402">
        <f>Medicamentos!B4</f>
        <v>0</v>
      </c>
      <c r="C4" s="403"/>
      <c r="D4" s="403"/>
      <c r="E4" s="403"/>
      <c r="F4" s="403"/>
      <c r="G4" s="403"/>
      <c r="H4" s="403"/>
      <c r="I4" s="403"/>
      <c r="J4" s="403"/>
      <c r="K4" s="404"/>
      <c r="L4" s="195"/>
      <c r="M4" s="195"/>
      <c r="N4" s="114"/>
      <c r="O4" s="114"/>
      <c r="P4" s="114"/>
      <c r="Q4" s="114"/>
    </row>
    <row r="5" spans="1:17" ht="21.75" thickBot="1" x14ac:dyDescent="0.3">
      <c r="A5" s="118" t="s">
        <v>4</v>
      </c>
      <c r="B5" s="119">
        <f>Medicamentos!B5</f>
        <v>0</v>
      </c>
      <c r="C5" s="118" t="s">
        <v>6</v>
      </c>
      <c r="D5" s="120">
        <f ca="1">Medicamentos!D5</f>
        <v>46060</v>
      </c>
      <c r="E5" s="118" t="s">
        <v>9</v>
      </c>
      <c r="F5" s="118">
        <f>Medicamentos!F5</f>
        <v>0</v>
      </c>
      <c r="G5" s="259" t="s">
        <v>10</v>
      </c>
      <c r="H5" s="260"/>
      <c r="I5" s="125">
        <f ca="1">Medicamentos!I5</f>
        <v>6580</v>
      </c>
      <c r="J5" s="121" t="str">
        <f>Medicamentos!J5</f>
        <v>+</v>
      </c>
      <c r="K5" s="122">
        <f ca="1">Medicamentos!K5</f>
        <v>0</v>
      </c>
      <c r="L5" s="192"/>
      <c r="M5" s="192"/>
      <c r="N5" s="114"/>
      <c r="O5" s="114"/>
      <c r="P5" s="114"/>
      <c r="Q5" s="114"/>
    </row>
    <row r="6" spans="1:17" ht="21.75" thickBot="1" x14ac:dyDescent="0.3">
      <c r="A6" s="118" t="s">
        <v>5</v>
      </c>
      <c r="B6" s="123">
        <f>Medicamentos!B6</f>
        <v>5000</v>
      </c>
      <c r="C6" s="118" t="s">
        <v>7</v>
      </c>
      <c r="D6" s="118">
        <f>Medicamentos!D6</f>
        <v>0</v>
      </c>
      <c r="E6" s="118" t="s">
        <v>8</v>
      </c>
      <c r="F6" s="124">
        <f>Medicamentos!F6</f>
        <v>0.3</v>
      </c>
      <c r="G6" s="216" t="s">
        <v>154</v>
      </c>
      <c r="H6" s="217"/>
      <c r="I6" s="118">
        <f>Medicamentos!I6</f>
        <v>0</v>
      </c>
      <c r="J6" s="116"/>
      <c r="K6" s="116"/>
      <c r="L6" s="194"/>
      <c r="M6" s="194"/>
      <c r="N6" s="114"/>
      <c r="O6" s="114"/>
      <c r="P6" s="114"/>
      <c r="Q6" s="114"/>
    </row>
    <row r="7" spans="1:17" ht="15.75" thickBo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24" thickBot="1" x14ac:dyDescent="0.3">
      <c r="A8" s="240" t="s">
        <v>163</v>
      </c>
      <c r="B8" s="241"/>
      <c r="C8" s="241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2"/>
    </row>
    <row r="9" spans="1:17" ht="21.75" thickBot="1" x14ac:dyDescent="0.3">
      <c r="A9" s="245" t="s">
        <v>13</v>
      </c>
      <c r="B9" s="247"/>
      <c r="C9" s="247"/>
      <c r="D9" s="247"/>
      <c r="E9" s="247"/>
      <c r="F9" s="246"/>
      <c r="G9" s="245" t="s">
        <v>62</v>
      </c>
      <c r="H9" s="247"/>
      <c r="I9" s="247"/>
      <c r="J9" s="247"/>
      <c r="K9" s="247"/>
      <c r="L9" s="247"/>
      <c r="M9" s="247"/>
      <c r="N9" s="247"/>
      <c r="O9" s="247"/>
      <c r="P9" s="247"/>
      <c r="Q9" s="246"/>
    </row>
    <row r="10" spans="1:17" ht="21.75" thickBot="1" x14ac:dyDescent="0.3">
      <c r="A10" s="405" t="s">
        <v>14</v>
      </c>
      <c r="B10" s="407" t="s">
        <v>30</v>
      </c>
      <c r="C10" s="408"/>
      <c r="D10" s="409" t="s">
        <v>43</v>
      </c>
      <c r="E10" s="411" t="s">
        <v>164</v>
      </c>
      <c r="F10" s="412"/>
      <c r="G10" s="411" t="s">
        <v>165</v>
      </c>
      <c r="H10" s="415"/>
      <c r="I10" s="412"/>
      <c r="J10" s="411" t="s">
        <v>166</v>
      </c>
      <c r="K10" s="412"/>
      <c r="L10" s="417" t="s">
        <v>136</v>
      </c>
      <c r="M10" s="418"/>
      <c r="N10" s="418"/>
      <c r="O10" s="419"/>
      <c r="P10" s="409" t="s">
        <v>68</v>
      </c>
      <c r="Q10" s="409" t="s">
        <v>69</v>
      </c>
    </row>
    <row r="11" spans="1:17" ht="63.75" thickBot="1" x14ac:dyDescent="0.3">
      <c r="A11" s="406"/>
      <c r="B11" s="117" t="s">
        <v>167</v>
      </c>
      <c r="C11" s="117" t="s">
        <v>168</v>
      </c>
      <c r="D11" s="410"/>
      <c r="E11" s="413"/>
      <c r="F11" s="414"/>
      <c r="G11" s="413"/>
      <c r="H11" s="416"/>
      <c r="I11" s="414"/>
      <c r="J11" s="413"/>
      <c r="K11" s="414"/>
      <c r="L11" s="243" t="s">
        <v>167</v>
      </c>
      <c r="M11" s="244"/>
      <c r="N11" s="243" t="s">
        <v>168</v>
      </c>
      <c r="O11" s="244"/>
      <c r="P11" s="410"/>
      <c r="Q11" s="410"/>
    </row>
    <row r="12" spans="1:17" ht="21" x14ac:dyDescent="0.35">
      <c r="A12" s="283" t="s">
        <v>169</v>
      </c>
      <c r="B12" s="273" t="s">
        <v>170</v>
      </c>
      <c r="C12" s="273" t="s">
        <v>37</v>
      </c>
      <c r="D12" s="273" t="s">
        <v>44</v>
      </c>
      <c r="E12" s="128" t="s">
        <v>171</v>
      </c>
      <c r="F12" s="128" t="s">
        <v>172</v>
      </c>
      <c r="G12" s="148" t="s">
        <v>171</v>
      </c>
      <c r="H12" s="148" t="s">
        <v>172</v>
      </c>
      <c r="I12" s="148" t="s">
        <v>111</v>
      </c>
      <c r="J12" s="148" t="s">
        <v>171</v>
      </c>
      <c r="K12" s="148" t="s">
        <v>172</v>
      </c>
      <c r="L12" s="148" t="s">
        <v>171</v>
      </c>
      <c r="M12" s="148" t="s">
        <v>172</v>
      </c>
      <c r="N12" s="148" t="s">
        <v>171</v>
      </c>
      <c r="O12" s="148" t="s">
        <v>172</v>
      </c>
      <c r="P12" s="390" t="s">
        <v>81</v>
      </c>
      <c r="Q12" s="391" t="s">
        <v>173</v>
      </c>
    </row>
    <row r="13" spans="1:17" ht="21.75" thickBot="1" x14ac:dyDescent="0.4">
      <c r="A13" s="285"/>
      <c r="B13" s="264"/>
      <c r="C13" s="264"/>
      <c r="D13" s="264"/>
      <c r="E13" s="131">
        <f ca="1">IF(AND(I5&lt;=34,D5&lt;=7),50,IF(AND(I5&lt;=34,D5&gt;=8),75,IF(AND(I5&gt;34,D5&lt;=7),50,IF(AND(I5&gt;34,D5&gt;=8),50,"error"))))</f>
        <v>50</v>
      </c>
      <c r="F13" s="131">
        <f ca="1">IF(AND(I5&lt;=34,D5&lt;=7),100,IF(AND(I5&lt;=34,D5&gt;=8),75,IF(AND(I5&gt;34,D5&lt;=7),100,IF(AND(I5&gt;34,D5&gt;=8),75,"error"))))</f>
        <v>75</v>
      </c>
      <c r="G13" s="149">
        <f ca="1">(E13*B6)/1000</f>
        <v>250</v>
      </c>
      <c r="H13" s="149">
        <f ca="1">(F13*B6)/1000</f>
        <v>375</v>
      </c>
      <c r="I13" s="150" t="s">
        <v>64</v>
      </c>
      <c r="J13" s="150">
        <f ca="1">IF(AND(I5&lt;=34,D5&lt;=7),12,IF(AND(I5&lt;=34,D5&gt;=8),12,IF(AND(I5&gt;34,D5&lt;=7),8,IF(AND(I5&gt;34,D5&gt;=8),8,"error"))))</f>
        <v>8</v>
      </c>
      <c r="K13" s="150">
        <f ca="1">IF(AND(I5&lt;=34,D5&lt;=7),8,IF(AND(I5&lt;=34,D5&gt;=8),6,IF(AND(I5&gt;34,D5&lt;=7),8,IF(AND(I5&gt;34,D5&gt;=8),6,"error"))))</f>
        <v>6</v>
      </c>
      <c r="L13" s="151">
        <f ca="1">(G13/30)</f>
        <v>8.3333333333333339</v>
      </c>
      <c r="M13" s="151">
        <f ca="1">(H13/30)</f>
        <v>12.5</v>
      </c>
      <c r="N13" s="152">
        <f ca="1">(G13/100)</f>
        <v>2.5</v>
      </c>
      <c r="O13" s="152">
        <f ca="1">(H13/100)</f>
        <v>3.75</v>
      </c>
      <c r="P13" s="317"/>
      <c r="Q13" s="392"/>
    </row>
    <row r="14" spans="1:17" ht="63.75" thickBot="1" x14ac:dyDescent="0.3">
      <c r="A14" s="139" t="s">
        <v>174</v>
      </c>
      <c r="B14" s="127" t="s">
        <v>175</v>
      </c>
      <c r="C14" s="127" t="s">
        <v>34</v>
      </c>
      <c r="D14" s="127" t="s">
        <v>44</v>
      </c>
      <c r="E14" s="286">
        <f ca="1">IF(AND(B6&lt;=800,D5&lt;14),16,IF(AND(B6&lt;=800,D5&gt;=14),20,IF(AND(B6&gt;800,B6&lt;=1200,D5&lt;14),16,IF(AND(B6&gt;800,B6&lt;=1200,D5&gt;=14),20,IF(AND(B6&gt;1200,B6&lt;=2000,D5&lt;14),15,IF(AND(B6&gt;1200,B6&lt;=2000,D5&gt;=14),18,IF(AND(B6&gt;2000,B6&lt;=2800,D5&lt;14),15,IF(AND(B6&gt;2000,B6&lt;=2800,D5&gt;=14),18,IF(AND(B6&gt;2800,D5&lt;14),15,IF(AND(B6&gt;2800,D5&gt;=14),18,"error"))))))))))</f>
        <v>18</v>
      </c>
      <c r="F14" s="287"/>
      <c r="G14" s="383">
        <f ca="1">(E14*B6)/1000</f>
        <v>90</v>
      </c>
      <c r="H14" s="384"/>
      <c r="I14" s="153" t="s">
        <v>64</v>
      </c>
      <c r="J14" s="323">
        <f ca="1">IF(AND(B6&lt;=800,D5&lt;14),48,IF(AND(B6&lt;=800,D5&gt;=14),42,IF(AND(B6&gt;800,B6&lt;=1200,D5&lt;14),42,IF(AND(B6&gt;800,B6&lt;=1200,D5&gt;=14),36,IF(AND(B6&gt;1200,B6&lt;=2000,D5&lt;14),36,IF(AND(B6&gt;1200,B6&lt;=2000,D5&gt;=14),30,IF(AND(B6&gt;2000,B6&lt;=2800,D5&lt;14),36,IF(AND(B6&gt;2000,B6&lt;=2800,D5&gt;=14),24,IF(AND(B6&gt;2800,D5&lt;14),30,IF(AND(B6&gt;2800,D5&gt;=14),20,"error"))))))))))</f>
        <v>20</v>
      </c>
      <c r="K14" s="324"/>
      <c r="L14" s="364">
        <f ca="1">(G14/3)</f>
        <v>30</v>
      </c>
      <c r="M14" s="365"/>
      <c r="N14" s="364">
        <f ca="1">(G14/10)</f>
        <v>9</v>
      </c>
      <c r="O14" s="365"/>
      <c r="P14" s="140" t="s">
        <v>176</v>
      </c>
      <c r="Q14" s="145" t="s">
        <v>177</v>
      </c>
    </row>
    <row r="15" spans="1:17" ht="21" x14ac:dyDescent="0.25">
      <c r="A15" s="188" t="s">
        <v>178</v>
      </c>
      <c r="B15" s="390" t="s">
        <v>42</v>
      </c>
      <c r="C15" s="390"/>
      <c r="D15" s="129" t="s">
        <v>44</v>
      </c>
      <c r="E15" s="393">
        <v>10</v>
      </c>
      <c r="F15" s="287"/>
      <c r="G15" s="383">
        <f>(E15*B6)/1000</f>
        <v>50</v>
      </c>
      <c r="H15" s="384"/>
      <c r="I15" s="290" t="s">
        <v>64</v>
      </c>
      <c r="J15" s="323">
        <v>24</v>
      </c>
      <c r="K15" s="397"/>
      <c r="L15" s="385">
        <f>(G15/2)</f>
        <v>25</v>
      </c>
      <c r="M15" s="385"/>
      <c r="N15" s="385"/>
      <c r="O15" s="385"/>
      <c r="P15" s="273" t="s">
        <v>125</v>
      </c>
      <c r="Q15" s="145" t="s">
        <v>177</v>
      </c>
    </row>
    <row r="16" spans="1:17" ht="21.75" thickBot="1" x14ac:dyDescent="0.4">
      <c r="A16" s="186" t="s">
        <v>179</v>
      </c>
      <c r="B16" s="386" t="s">
        <v>180</v>
      </c>
      <c r="C16" s="386"/>
      <c r="D16" s="141" t="s">
        <v>181</v>
      </c>
      <c r="E16" s="394"/>
      <c r="F16" s="341"/>
      <c r="G16" s="395"/>
      <c r="H16" s="396"/>
      <c r="I16" s="268"/>
      <c r="J16" s="325"/>
      <c r="K16" s="398"/>
      <c r="L16" s="387">
        <f>(G15*5)/200</f>
        <v>1.25</v>
      </c>
      <c r="M16" s="388"/>
      <c r="N16" s="388"/>
      <c r="O16" s="389"/>
      <c r="P16" s="264"/>
      <c r="Q16" s="133" t="s">
        <v>182</v>
      </c>
    </row>
    <row r="17" spans="1:17" ht="21.75" thickBot="1" x14ac:dyDescent="0.3">
      <c r="A17" s="283" t="s">
        <v>183</v>
      </c>
      <c r="B17" s="286" t="s">
        <v>184</v>
      </c>
      <c r="C17" s="287"/>
      <c r="D17" s="273" t="s">
        <v>181</v>
      </c>
      <c r="E17" s="136" t="s">
        <v>185</v>
      </c>
      <c r="F17" s="197" t="s">
        <v>186</v>
      </c>
      <c r="G17" s="155" t="s">
        <v>185</v>
      </c>
      <c r="H17" s="155" t="s">
        <v>186</v>
      </c>
      <c r="I17" s="290" t="s">
        <v>64</v>
      </c>
      <c r="J17" s="163" t="s">
        <v>185</v>
      </c>
      <c r="K17" s="154" t="s">
        <v>186</v>
      </c>
      <c r="L17" s="198" t="s">
        <v>185</v>
      </c>
      <c r="M17" s="198" t="s">
        <v>186</v>
      </c>
      <c r="N17" s="184" t="s">
        <v>185</v>
      </c>
      <c r="O17" s="184" t="s">
        <v>186</v>
      </c>
      <c r="P17" s="273" t="s">
        <v>125</v>
      </c>
      <c r="Q17" s="261" t="s">
        <v>182</v>
      </c>
    </row>
    <row r="18" spans="1:17" ht="21.75" thickBot="1" x14ac:dyDescent="0.3">
      <c r="A18" s="285"/>
      <c r="B18" s="329"/>
      <c r="C18" s="341"/>
      <c r="D18" s="264"/>
      <c r="E18" s="185">
        <v>20</v>
      </c>
      <c r="F18" s="135">
        <v>25</v>
      </c>
      <c r="G18" s="199">
        <f>(E18*B6)/1000</f>
        <v>100</v>
      </c>
      <c r="H18" s="149">
        <f>(F18*B6)/1000</f>
        <v>125</v>
      </c>
      <c r="I18" s="268"/>
      <c r="J18" s="154">
        <v>24</v>
      </c>
      <c r="K18" s="183">
        <v>12</v>
      </c>
      <c r="L18" s="198">
        <f>(G18*5)/250</f>
        <v>2</v>
      </c>
      <c r="M18" s="200">
        <f>(H18*5)/250</f>
        <v>2.5</v>
      </c>
      <c r="N18" s="198">
        <f>(G18*5)/250</f>
        <v>2</v>
      </c>
      <c r="O18" s="187">
        <f>(H18*5)/250</f>
        <v>2.5</v>
      </c>
      <c r="P18" s="264"/>
      <c r="Q18" s="376"/>
    </row>
    <row r="19" spans="1:17" ht="21.75" thickBot="1" x14ac:dyDescent="0.3">
      <c r="A19" s="139" t="s">
        <v>187</v>
      </c>
      <c r="B19" s="127" t="s">
        <v>188</v>
      </c>
      <c r="C19" s="127" t="s">
        <v>37</v>
      </c>
      <c r="D19" s="127" t="s">
        <v>44</v>
      </c>
      <c r="E19" s="286">
        <v>25</v>
      </c>
      <c r="F19" s="287"/>
      <c r="G19" s="383">
        <f>(E19*B6)/1000</f>
        <v>125</v>
      </c>
      <c r="H19" s="384"/>
      <c r="I19" s="153" t="s">
        <v>64</v>
      </c>
      <c r="J19" s="323">
        <f ca="1">IF(AND(I5&lt;=29,D5&lt;=28),12,IF(AND(I5&lt;=29,D5&gt;28),8,IF(AND(I5&gt;=30,I5&lt;=36,D5&lt;=14),12,IF(AND(I5&gt;=30,I5&lt;=36,D5&gt;14),8,IF(AND(I5&gt;=37,I5&lt;=44,D5&lt;=7),12,IF(AND(I5&gt;=37,I5&lt;=44,D5&gt;7),8,6))))))</f>
        <v>6</v>
      </c>
      <c r="K19" s="324"/>
      <c r="L19" s="364">
        <f>(G19/20)</f>
        <v>6.25</v>
      </c>
      <c r="M19" s="365"/>
      <c r="N19" s="364">
        <f>(G19/100)</f>
        <v>1.25</v>
      </c>
      <c r="O19" s="365"/>
      <c r="P19" s="127" t="s">
        <v>81</v>
      </c>
      <c r="Q19" s="191" t="s">
        <v>177</v>
      </c>
    </row>
    <row r="20" spans="1:17" ht="21" x14ac:dyDescent="0.25">
      <c r="A20" s="283" t="s">
        <v>189</v>
      </c>
      <c r="B20" s="286" t="s">
        <v>190</v>
      </c>
      <c r="C20" s="287"/>
      <c r="D20" s="273" t="s">
        <v>44</v>
      </c>
      <c r="E20" s="129" t="s">
        <v>171</v>
      </c>
      <c r="F20" s="129" t="s">
        <v>172</v>
      </c>
      <c r="G20" s="155" t="s">
        <v>171</v>
      </c>
      <c r="H20" s="155" t="s">
        <v>172</v>
      </c>
      <c r="I20" s="290" t="s">
        <v>64</v>
      </c>
      <c r="J20" s="148" t="s">
        <v>171</v>
      </c>
      <c r="K20" s="148" t="s">
        <v>172</v>
      </c>
      <c r="L20" s="202" t="s">
        <v>171</v>
      </c>
      <c r="M20" s="156" t="s">
        <v>172</v>
      </c>
      <c r="N20" s="156" t="s">
        <v>171</v>
      </c>
      <c r="O20" s="156" t="s">
        <v>172</v>
      </c>
      <c r="P20" s="381" t="s">
        <v>191</v>
      </c>
      <c r="Q20" s="261" t="s">
        <v>192</v>
      </c>
    </row>
    <row r="21" spans="1:17" ht="21.75" thickBot="1" x14ac:dyDescent="0.3">
      <c r="A21" s="285"/>
      <c r="B21" s="329"/>
      <c r="C21" s="341"/>
      <c r="D21" s="264"/>
      <c r="E21" s="132">
        <f ca="1">IF(AND(I5&lt;=36,D5&lt;=28),30,IF(AND(I5&gt;36,D5&gt;28),50))</f>
        <v>50</v>
      </c>
      <c r="F21" s="132">
        <v>50</v>
      </c>
      <c r="G21" s="149">
        <f ca="1">(E21*B6)/1000</f>
        <v>250</v>
      </c>
      <c r="H21" s="149">
        <f>(F21*B6)/1000</f>
        <v>250</v>
      </c>
      <c r="I21" s="268"/>
      <c r="J21" s="150">
        <v>12</v>
      </c>
      <c r="K21" s="150">
        <v>12</v>
      </c>
      <c r="L21" s="201">
        <f ca="1">(G21/40)</f>
        <v>6.25</v>
      </c>
      <c r="M21" s="157">
        <f>(H21/40)</f>
        <v>6.25</v>
      </c>
      <c r="N21" s="157">
        <f ca="1">(G21/40)</f>
        <v>6.25</v>
      </c>
      <c r="O21" s="157">
        <f>(H21/40)</f>
        <v>6.25</v>
      </c>
      <c r="P21" s="382"/>
      <c r="Q21" s="376"/>
    </row>
    <row r="22" spans="1:17" ht="21" x14ac:dyDescent="0.25">
      <c r="A22" s="283" t="s">
        <v>193</v>
      </c>
      <c r="B22" s="286" t="s">
        <v>190</v>
      </c>
      <c r="C22" s="287"/>
      <c r="D22" s="273" t="s">
        <v>44</v>
      </c>
      <c r="E22" s="129" t="s">
        <v>171</v>
      </c>
      <c r="F22" s="129" t="s">
        <v>172</v>
      </c>
      <c r="G22" s="148" t="s">
        <v>171</v>
      </c>
      <c r="H22" s="148" t="s">
        <v>172</v>
      </c>
      <c r="I22" s="290" t="s">
        <v>64</v>
      </c>
      <c r="J22" s="148" t="s">
        <v>171</v>
      </c>
      <c r="K22" s="148" t="s">
        <v>172</v>
      </c>
      <c r="L22" s="148" t="s">
        <v>171</v>
      </c>
      <c r="M22" s="148" t="s">
        <v>172</v>
      </c>
      <c r="N22" s="148" t="s">
        <v>171</v>
      </c>
      <c r="O22" s="148" t="s">
        <v>172</v>
      </c>
      <c r="P22" s="273" t="s">
        <v>81</v>
      </c>
      <c r="Q22" s="261" t="s">
        <v>194</v>
      </c>
    </row>
    <row r="23" spans="1:17" ht="21.75" thickBot="1" x14ac:dyDescent="0.3">
      <c r="A23" s="285"/>
      <c r="B23" s="329"/>
      <c r="C23" s="341"/>
      <c r="D23" s="264"/>
      <c r="E23" s="132">
        <v>50</v>
      </c>
      <c r="F23" s="132">
        <v>50</v>
      </c>
      <c r="G23" s="149">
        <f>(E23*B6)/1000</f>
        <v>250</v>
      </c>
      <c r="H23" s="149">
        <f>(F23*B6)/1000</f>
        <v>250</v>
      </c>
      <c r="I23" s="268"/>
      <c r="J23" s="150">
        <f ca="1">IF(AND(D5&lt;7),12,IF(AND(I5&lt;32,D5&gt;=7),8,IF(AND(I5&gt;=32,D5&gt;=7),6)))</f>
        <v>6</v>
      </c>
      <c r="K23" s="150">
        <f ca="1">IF(AND(D5&lt;=7),8,IF(AND(D5&gt;=8),6))</f>
        <v>6</v>
      </c>
      <c r="L23" s="157">
        <f>(G23/40)</f>
        <v>6.25</v>
      </c>
      <c r="M23" s="157">
        <f t="shared" ref="M23" si="0">(H23/40)</f>
        <v>6.25</v>
      </c>
      <c r="N23" s="157">
        <f>(G23/40)</f>
        <v>6.25</v>
      </c>
      <c r="O23" s="157">
        <f>(H23/40)</f>
        <v>6.25</v>
      </c>
      <c r="P23" s="264"/>
      <c r="Q23" s="376"/>
    </row>
    <row r="24" spans="1:17" ht="21" x14ac:dyDescent="0.25">
      <c r="A24" s="283" t="s">
        <v>195</v>
      </c>
      <c r="B24" s="273" t="s">
        <v>196</v>
      </c>
      <c r="C24" s="273" t="s">
        <v>37</v>
      </c>
      <c r="D24" s="273" t="s">
        <v>44</v>
      </c>
      <c r="E24" s="129" t="s">
        <v>171</v>
      </c>
      <c r="F24" s="129" t="s">
        <v>172</v>
      </c>
      <c r="G24" s="148" t="s">
        <v>171</v>
      </c>
      <c r="H24" s="148" t="s">
        <v>172</v>
      </c>
      <c r="I24" s="290" t="s">
        <v>64</v>
      </c>
      <c r="J24" s="148" t="s">
        <v>171</v>
      </c>
      <c r="K24" s="148" t="s">
        <v>172</v>
      </c>
      <c r="L24" s="148" t="s">
        <v>171</v>
      </c>
      <c r="M24" s="148" t="s">
        <v>172</v>
      </c>
      <c r="N24" s="148" t="s">
        <v>171</v>
      </c>
      <c r="O24" s="148" t="s">
        <v>172</v>
      </c>
      <c r="P24" s="273" t="s">
        <v>191</v>
      </c>
      <c r="Q24" s="261" t="s">
        <v>194</v>
      </c>
    </row>
    <row r="25" spans="1:17" ht="24" thickBot="1" x14ac:dyDescent="0.3">
      <c r="A25" s="284"/>
      <c r="B25" s="373"/>
      <c r="C25" s="373"/>
      <c r="D25" s="373"/>
      <c r="E25" s="147">
        <v>30</v>
      </c>
      <c r="F25" s="147">
        <v>50</v>
      </c>
      <c r="G25" s="158">
        <f>(E25*B6)/1000</f>
        <v>150</v>
      </c>
      <c r="H25" s="158">
        <f>(F25*B6)/1000</f>
        <v>250</v>
      </c>
      <c r="I25" s="291"/>
      <c r="J25" s="159">
        <f ca="1">IF(AND(K5&lt;=29,E5&lt;=28),12,IF(AND(K5&lt;=29,E5&gt;28),8,IF(AND(K5&gt;29,K5&lt;=36,E5&lt;=14),12,IF(AND(K5&gt;29,K5&lt;=36,E5&gt;14),8,IF(AND(K5&gt;36,K5&lt;=44,E5&lt;=7),12,IF(AND(K5&gt;36,K5&lt;=44,E5&gt;7),8,8))))))</f>
        <v>8</v>
      </c>
      <c r="K25" s="159">
        <f>IF(AND(E5&lt;=7),12,IF(AND(E5&gt;=8),8))</f>
        <v>8</v>
      </c>
      <c r="L25" s="160">
        <f>(G25/50)</f>
        <v>3</v>
      </c>
      <c r="M25" s="160">
        <f>(H25/50)</f>
        <v>5</v>
      </c>
      <c r="N25" s="160">
        <f>(G25/100)</f>
        <v>1.5</v>
      </c>
      <c r="O25" s="161">
        <f>(H25/100)</f>
        <v>2.5</v>
      </c>
      <c r="P25" s="373"/>
      <c r="Q25" s="376"/>
    </row>
    <row r="26" spans="1:17" ht="21" x14ac:dyDescent="0.25">
      <c r="A26" s="283" t="s">
        <v>197</v>
      </c>
      <c r="B26" s="321" t="s">
        <v>42</v>
      </c>
      <c r="C26" s="322"/>
      <c r="D26" s="129" t="s">
        <v>44</v>
      </c>
      <c r="E26" s="286">
        <f ca="1">IF(AND(I5&lt;=36),10,IF(AND(I5&gt;36),15))</f>
        <v>15</v>
      </c>
      <c r="F26" s="287"/>
      <c r="G26" s="323">
        <f ca="1">(E26*B6)/1000</f>
        <v>75</v>
      </c>
      <c r="H26" s="324"/>
      <c r="I26" s="290" t="s">
        <v>64</v>
      </c>
      <c r="J26" s="323">
        <v>12</v>
      </c>
      <c r="K26" s="324"/>
      <c r="L26" s="374">
        <f ca="1">(G26/2)</f>
        <v>37.5</v>
      </c>
      <c r="M26" s="379"/>
      <c r="N26" s="379"/>
      <c r="O26" s="375"/>
      <c r="P26" s="129" t="s">
        <v>191</v>
      </c>
      <c r="Q26" s="130" t="s">
        <v>194</v>
      </c>
    </row>
    <row r="27" spans="1:17" ht="21.75" thickBot="1" x14ac:dyDescent="0.3">
      <c r="A27" s="285"/>
      <c r="B27" s="271" t="s">
        <v>76</v>
      </c>
      <c r="C27" s="292"/>
      <c r="D27" s="142" t="s">
        <v>181</v>
      </c>
      <c r="E27" s="329"/>
      <c r="F27" s="341"/>
      <c r="G27" s="325"/>
      <c r="H27" s="326"/>
      <c r="I27" s="268"/>
      <c r="J27" s="325"/>
      <c r="K27" s="326"/>
      <c r="L27" s="269" t="s">
        <v>198</v>
      </c>
      <c r="M27" s="380"/>
      <c r="N27" s="380"/>
      <c r="O27" s="270"/>
      <c r="P27" s="132" t="s">
        <v>125</v>
      </c>
      <c r="Q27" s="133" t="s">
        <v>182</v>
      </c>
    </row>
    <row r="28" spans="1:17" ht="21.75" thickBot="1" x14ac:dyDescent="0.4">
      <c r="A28" s="283" t="s">
        <v>199</v>
      </c>
      <c r="B28" s="273" t="s">
        <v>190</v>
      </c>
      <c r="C28" s="273" t="s">
        <v>37</v>
      </c>
      <c r="D28" s="273" t="s">
        <v>44</v>
      </c>
      <c r="E28" s="129" t="s">
        <v>171</v>
      </c>
      <c r="F28" s="129" t="s">
        <v>172</v>
      </c>
      <c r="G28" s="148" t="s">
        <v>171</v>
      </c>
      <c r="H28" s="148" t="s">
        <v>172</v>
      </c>
      <c r="I28" s="290" t="s">
        <v>64</v>
      </c>
      <c r="J28" s="169" t="s">
        <v>171</v>
      </c>
      <c r="K28" s="170" t="s">
        <v>172</v>
      </c>
      <c r="L28" s="148" t="s">
        <v>171</v>
      </c>
      <c r="M28" s="148" t="s">
        <v>172</v>
      </c>
      <c r="N28" s="148" t="s">
        <v>171</v>
      </c>
      <c r="O28" s="148" t="s">
        <v>172</v>
      </c>
      <c r="P28" s="273" t="s">
        <v>200</v>
      </c>
      <c r="Q28" s="261" t="s">
        <v>192</v>
      </c>
    </row>
    <row r="29" spans="1:17" ht="21.75" thickBot="1" x14ac:dyDescent="0.3">
      <c r="A29" s="285"/>
      <c r="B29" s="264"/>
      <c r="C29" s="264"/>
      <c r="D29" s="264"/>
      <c r="E29" s="142">
        <v>25</v>
      </c>
      <c r="F29" s="142">
        <v>50</v>
      </c>
      <c r="G29" s="162">
        <f>(E29*B6)/1000</f>
        <v>125</v>
      </c>
      <c r="H29" s="162">
        <f>(F29*B6)/1000</f>
        <v>250</v>
      </c>
      <c r="I29" s="268"/>
      <c r="J29" s="163">
        <f ca="1">IF(AND(I5&lt;=29,D5&lt;=28),12,IF(AND(I5&lt;=29,I5&gt;28),8,IF(AND(I5&gt;29,I5&lt;=36,D5&lt;=14),12,IF(AND(I5&gt;29,I5&lt;=36,D5&gt;14),8,IF(AND(I5&gt;36,I5&lt;=44,D5&lt;=7),12,IF(AND(I5&gt;36,I5&lt;=44,D5&gt;7),8,6))))))</f>
        <v>6</v>
      </c>
      <c r="K29" s="163">
        <f ca="1">IF(AND(I5&lt;=29,D5&lt;=28),12,IF(AND(I5&lt;=29,D5&gt;28),8,IF(AND(I5&gt;29,I5&lt;=36,D5&lt;=14),12,IF(AND(I5&gt;29,I5&lt;=36,D5&gt;14),8,IF(AND(I5&gt;36,I5&lt;=44,D5&lt;=7),12,IF(AND(I5&gt;36,I5&lt;=44,D5&gt;7),8,6))))))</f>
        <v>6</v>
      </c>
      <c r="L29" s="152">
        <f>(G29/40)</f>
        <v>3.125</v>
      </c>
      <c r="M29" s="152">
        <f>(H29/40)</f>
        <v>6.25</v>
      </c>
      <c r="N29" s="152">
        <f>(G29/100)</f>
        <v>1.25</v>
      </c>
      <c r="O29" s="152">
        <f>(H29/100)</f>
        <v>2.5</v>
      </c>
      <c r="P29" s="264"/>
      <c r="Q29" s="376"/>
    </row>
    <row r="30" spans="1:17" ht="21.75" thickBot="1" x14ac:dyDescent="0.3">
      <c r="A30" s="134" t="s">
        <v>201</v>
      </c>
      <c r="B30" s="275" t="s">
        <v>202</v>
      </c>
      <c r="C30" s="276"/>
      <c r="D30" s="135" t="s">
        <v>44</v>
      </c>
      <c r="E30" s="275">
        <v>3</v>
      </c>
      <c r="F30" s="276"/>
      <c r="G30" s="277">
        <f>(E30*B6)/1000</f>
        <v>15</v>
      </c>
      <c r="H30" s="278"/>
      <c r="I30" s="154" t="s">
        <v>64</v>
      </c>
      <c r="J30" s="279">
        <v>8</v>
      </c>
      <c r="K30" s="280"/>
      <c r="L30" s="277">
        <f>(G30/0.3)</f>
        <v>50</v>
      </c>
      <c r="M30" s="351"/>
      <c r="N30" s="351"/>
      <c r="O30" s="278"/>
      <c r="P30" s="135" t="s">
        <v>203</v>
      </c>
      <c r="Q30" s="143" t="s">
        <v>182</v>
      </c>
    </row>
    <row r="31" spans="1:17" ht="21" x14ac:dyDescent="0.25">
      <c r="A31" s="377" t="s">
        <v>204</v>
      </c>
      <c r="B31" s="273" t="s">
        <v>205</v>
      </c>
      <c r="C31" s="273" t="s">
        <v>206</v>
      </c>
      <c r="D31" s="273" t="s">
        <v>44</v>
      </c>
      <c r="E31" s="129" t="s">
        <v>207</v>
      </c>
      <c r="F31" s="129" t="s">
        <v>185</v>
      </c>
      <c r="G31" s="148" t="s">
        <v>207</v>
      </c>
      <c r="H31" s="148" t="s">
        <v>185</v>
      </c>
      <c r="I31" s="290" t="s">
        <v>64</v>
      </c>
      <c r="J31" s="148" t="s">
        <v>207</v>
      </c>
      <c r="K31" s="148" t="s">
        <v>185</v>
      </c>
      <c r="L31" s="148" t="s">
        <v>207</v>
      </c>
      <c r="M31" s="148" t="s">
        <v>185</v>
      </c>
      <c r="N31" s="148" t="s">
        <v>207</v>
      </c>
      <c r="O31" s="148" t="s">
        <v>185</v>
      </c>
      <c r="P31" s="273" t="s">
        <v>203</v>
      </c>
      <c r="Q31" s="261" t="s">
        <v>194</v>
      </c>
    </row>
    <row r="32" spans="1:17" ht="21.75" thickBot="1" x14ac:dyDescent="0.3">
      <c r="A32" s="378"/>
      <c r="B32" s="264"/>
      <c r="C32" s="264"/>
      <c r="D32" s="264"/>
      <c r="E32" s="142">
        <v>5</v>
      </c>
      <c r="F32" s="142">
        <v>2</v>
      </c>
      <c r="G32" s="162">
        <f>(E32*B6)/1000</f>
        <v>25</v>
      </c>
      <c r="H32" s="162">
        <f>(F32*B6)/1000</f>
        <v>10</v>
      </c>
      <c r="I32" s="268"/>
      <c r="J32" s="164">
        <v>12</v>
      </c>
      <c r="K32" s="164">
        <v>24</v>
      </c>
      <c r="L32" s="152">
        <f>(G32/0.64)</f>
        <v>39.0625</v>
      </c>
      <c r="M32" s="152">
        <f>(H32/0.64)</f>
        <v>15.625</v>
      </c>
      <c r="N32" s="152">
        <f>(G32/1.06)</f>
        <v>23.584905660377359</v>
      </c>
      <c r="O32" s="152">
        <f>(H32/1.06)</f>
        <v>9.4339622641509422</v>
      </c>
      <c r="P32" s="264"/>
      <c r="Q32" s="376"/>
    </row>
    <row r="33" spans="1:17" ht="21.75" thickBot="1" x14ac:dyDescent="0.3">
      <c r="A33" s="134" t="s">
        <v>208</v>
      </c>
      <c r="B33" s="275" t="s">
        <v>188</v>
      </c>
      <c r="C33" s="276"/>
      <c r="D33" s="135" t="s">
        <v>44</v>
      </c>
      <c r="E33" s="275">
        <v>15</v>
      </c>
      <c r="F33" s="276"/>
      <c r="G33" s="277">
        <f>(E33*B6)/1000</f>
        <v>75</v>
      </c>
      <c r="H33" s="278"/>
      <c r="I33" s="154" t="s">
        <v>64</v>
      </c>
      <c r="J33" s="279">
        <v>12</v>
      </c>
      <c r="K33" s="280"/>
      <c r="L33" s="281">
        <f>(G33/20)</f>
        <v>3.75</v>
      </c>
      <c r="M33" s="331"/>
      <c r="N33" s="331"/>
      <c r="O33" s="282"/>
      <c r="P33" s="135" t="s">
        <v>81</v>
      </c>
      <c r="Q33" s="143" t="s">
        <v>194</v>
      </c>
    </row>
    <row r="34" spans="1:17" ht="21.75" thickBot="1" x14ac:dyDescent="0.3">
      <c r="A34" s="134" t="s">
        <v>209</v>
      </c>
      <c r="B34" s="135" t="s">
        <v>33</v>
      </c>
      <c r="C34" s="135" t="s">
        <v>34</v>
      </c>
      <c r="D34" s="135" t="s">
        <v>44</v>
      </c>
      <c r="E34" s="275">
        <v>5</v>
      </c>
      <c r="F34" s="276"/>
      <c r="G34" s="277">
        <f>(E34*B6)/1000</f>
        <v>25</v>
      </c>
      <c r="H34" s="278"/>
      <c r="I34" s="154" t="s">
        <v>64</v>
      </c>
      <c r="J34" s="279">
        <f ca="1">IF(AND(I5&lt;=29,D5&lt;=7),48,IF(AND(I5&lt;=29,D5&gt;7,D5&lt;=28),36,IF(AND(I5&lt;=29,D5&gt;28),24,IF(AND(I5&gt;29,I5&lt;=34,D5&lt;=7),36,IF(AND(I5&gt;29,D5&lt;=34,D5&gt;7),24,24)))))</f>
        <v>24</v>
      </c>
      <c r="K34" s="280"/>
      <c r="L34" s="281">
        <f>(G34/5)</f>
        <v>5</v>
      </c>
      <c r="M34" s="282"/>
      <c r="N34" s="281">
        <f>(G34/10)</f>
        <v>2.5</v>
      </c>
      <c r="O34" s="282"/>
      <c r="P34" s="135" t="s">
        <v>203</v>
      </c>
      <c r="Q34" s="143" t="s">
        <v>177</v>
      </c>
    </row>
    <row r="35" spans="1:17" ht="21.6" thickBot="1" x14ac:dyDescent="0.35">
      <c r="A35" s="134" t="s">
        <v>210</v>
      </c>
      <c r="B35" s="275" t="s">
        <v>42</v>
      </c>
      <c r="C35" s="276"/>
      <c r="D35" s="135" t="s">
        <v>44</v>
      </c>
      <c r="E35" s="275">
        <v>10</v>
      </c>
      <c r="F35" s="276"/>
      <c r="G35" s="277">
        <f>(E35*B6)/1000</f>
        <v>50</v>
      </c>
      <c r="H35" s="278"/>
      <c r="I35" s="154" t="s">
        <v>64</v>
      </c>
      <c r="J35" s="279">
        <v>8</v>
      </c>
      <c r="K35" s="280"/>
      <c r="L35" s="281">
        <f>(G35/2)</f>
        <v>25</v>
      </c>
      <c r="M35" s="331"/>
      <c r="N35" s="331"/>
      <c r="O35" s="282"/>
      <c r="P35" s="135" t="s">
        <v>203</v>
      </c>
      <c r="Q35" s="143" t="s">
        <v>194</v>
      </c>
    </row>
    <row r="36" spans="1:17" ht="21" x14ac:dyDescent="0.25">
      <c r="A36" s="283" t="s">
        <v>211</v>
      </c>
      <c r="B36" s="273" t="s">
        <v>33</v>
      </c>
      <c r="C36" s="273" t="s">
        <v>188</v>
      </c>
      <c r="D36" s="273" t="s">
        <v>44</v>
      </c>
      <c r="E36" s="129" t="s">
        <v>171</v>
      </c>
      <c r="F36" s="129" t="s">
        <v>172</v>
      </c>
      <c r="G36" s="148" t="s">
        <v>171</v>
      </c>
      <c r="H36" s="148" t="s">
        <v>172</v>
      </c>
      <c r="I36" s="290" t="s">
        <v>64</v>
      </c>
      <c r="J36" s="148" t="s">
        <v>171</v>
      </c>
      <c r="K36" s="148" t="s">
        <v>172</v>
      </c>
      <c r="L36" s="148" t="s">
        <v>171</v>
      </c>
      <c r="M36" s="148" t="s">
        <v>172</v>
      </c>
      <c r="N36" s="148" t="s">
        <v>171</v>
      </c>
      <c r="O36" s="148" t="s">
        <v>172</v>
      </c>
      <c r="P36" s="273" t="s">
        <v>212</v>
      </c>
      <c r="Q36" s="261" t="s">
        <v>177</v>
      </c>
    </row>
    <row r="37" spans="1:17" ht="21.75" thickBot="1" x14ac:dyDescent="0.3">
      <c r="A37" s="284"/>
      <c r="B37" s="373"/>
      <c r="C37" s="373"/>
      <c r="D37" s="373"/>
      <c r="E37" s="147">
        <f ca="1">IF(AND(I5&gt;=32,D5&gt;=14),30,20)</f>
        <v>30</v>
      </c>
      <c r="F37" s="147">
        <v>40</v>
      </c>
      <c r="G37" s="158">
        <f ca="1">(B6*E37)/1000</f>
        <v>150</v>
      </c>
      <c r="H37" s="158">
        <f>(F37*B6)/1000</f>
        <v>200</v>
      </c>
      <c r="I37" s="291"/>
      <c r="J37" s="159">
        <f ca="1">IF(AND(I5&lt;32,D5&lt;=13),12,8)</f>
        <v>8</v>
      </c>
      <c r="K37" s="159">
        <f ca="1">IF(AND(I5&lt;32,D5&lt;=13),12,8)</f>
        <v>8</v>
      </c>
      <c r="L37" s="160">
        <f ca="1">(G37/5)</f>
        <v>30</v>
      </c>
      <c r="M37" s="160">
        <f>(H37/5)</f>
        <v>40</v>
      </c>
      <c r="N37" s="160">
        <f ca="1">(G37/20)</f>
        <v>7.5</v>
      </c>
      <c r="O37" s="160">
        <f>(H37/20)</f>
        <v>10</v>
      </c>
      <c r="P37" s="373"/>
      <c r="Q37" s="368"/>
    </row>
    <row r="38" spans="1:17" ht="21" x14ac:dyDescent="0.25">
      <c r="A38" s="283" t="s">
        <v>213</v>
      </c>
      <c r="B38" s="286" t="s">
        <v>33</v>
      </c>
      <c r="C38" s="287"/>
      <c r="D38" s="273" t="s">
        <v>44</v>
      </c>
      <c r="E38" s="129" t="s">
        <v>151</v>
      </c>
      <c r="F38" s="129" t="s">
        <v>152</v>
      </c>
      <c r="G38" s="148" t="s">
        <v>151</v>
      </c>
      <c r="H38" s="148" t="s">
        <v>152</v>
      </c>
      <c r="I38" s="290" t="s">
        <v>64</v>
      </c>
      <c r="J38" s="148" t="s">
        <v>151</v>
      </c>
      <c r="K38" s="148" t="s">
        <v>152</v>
      </c>
      <c r="L38" s="148" t="s">
        <v>151</v>
      </c>
      <c r="M38" s="148" t="s">
        <v>152</v>
      </c>
      <c r="N38" s="148" t="s">
        <v>151</v>
      </c>
      <c r="O38" s="148" t="s">
        <v>152</v>
      </c>
      <c r="P38" s="273" t="s">
        <v>214</v>
      </c>
      <c r="Q38" s="261" t="s">
        <v>194</v>
      </c>
    </row>
    <row r="39" spans="1:17" ht="21" x14ac:dyDescent="0.25">
      <c r="A39" s="284"/>
      <c r="B39" s="288"/>
      <c r="C39" s="289"/>
      <c r="D39" s="274"/>
      <c r="E39" s="146">
        <v>15</v>
      </c>
      <c r="F39" s="146">
        <f ca="1">IF(AND(K5=26,K5=27),10,7.5)</f>
        <v>7.5</v>
      </c>
      <c r="G39" s="166">
        <f>(E39*B6)/1000</f>
        <v>75</v>
      </c>
      <c r="H39" s="166">
        <f ca="1">(F39*B6)/1000</f>
        <v>37.5</v>
      </c>
      <c r="I39" s="291"/>
      <c r="J39" s="165" t="s">
        <v>215</v>
      </c>
      <c r="K39" s="165">
        <f ca="1">IF(AND(I5&lt;=27),24,IF(AND(I5&gt;27,I5&lt;=33),12,IF(AND(I5&gt;33,I5&lt;=40),8,IF(AND(I5&gt;40),6))))</f>
        <v>6</v>
      </c>
      <c r="L39" s="168">
        <f>(G39/5)</f>
        <v>15</v>
      </c>
      <c r="M39" s="168">
        <f ca="1">(H39/5)</f>
        <v>7.5</v>
      </c>
      <c r="N39" s="168">
        <f>L39</f>
        <v>15</v>
      </c>
      <c r="O39" s="168">
        <f ca="1">M39</f>
        <v>7.5</v>
      </c>
      <c r="P39" s="274"/>
      <c r="Q39" s="262"/>
    </row>
    <row r="40" spans="1:17" ht="21.75" thickBot="1" x14ac:dyDescent="0.3">
      <c r="A40" s="285"/>
      <c r="B40" s="329" t="s">
        <v>76</v>
      </c>
      <c r="C40" s="341"/>
      <c r="D40" s="132" t="s">
        <v>181</v>
      </c>
      <c r="E40" s="132">
        <v>15</v>
      </c>
      <c r="F40" s="132">
        <f ca="1">IF(AND(K5=26,K5=27),10,7.5)</f>
        <v>7.5</v>
      </c>
      <c r="G40" s="149">
        <f>(E40*B6)/1000</f>
        <v>75</v>
      </c>
      <c r="H40" s="149">
        <f ca="1">(F40*B6)/1000</f>
        <v>37.5</v>
      </c>
      <c r="I40" s="268"/>
      <c r="J40" s="150" t="s">
        <v>215</v>
      </c>
      <c r="K40" s="150">
        <f ca="1">IF(AND(I5&lt;=27),24,IF(AND(I5&gt;27,I5&lt;=33),12,IF(AND(I5&gt;33,I5&lt;=40),8,IF(AND(I5&gt;40),6))))</f>
        <v>6</v>
      </c>
      <c r="L40" s="157">
        <f>(G40/5)</f>
        <v>15</v>
      </c>
      <c r="M40" s="157">
        <f ca="1">(H40/5)</f>
        <v>7.5</v>
      </c>
      <c r="N40" s="157">
        <f>L40</f>
        <v>15</v>
      </c>
      <c r="O40" s="157">
        <f ca="1">M40</f>
        <v>7.5</v>
      </c>
      <c r="P40" s="132" t="s">
        <v>125</v>
      </c>
      <c r="Q40" s="144" t="s">
        <v>182</v>
      </c>
    </row>
    <row r="41" spans="1:17" ht="42" x14ac:dyDescent="0.25">
      <c r="A41" s="283" t="s">
        <v>216</v>
      </c>
      <c r="B41" s="273" t="s">
        <v>217</v>
      </c>
      <c r="C41" s="273" t="s">
        <v>218</v>
      </c>
      <c r="D41" s="273" t="s">
        <v>44</v>
      </c>
      <c r="E41" s="321" t="s">
        <v>219</v>
      </c>
      <c r="F41" s="322"/>
      <c r="G41" s="374" t="s">
        <v>219</v>
      </c>
      <c r="H41" s="375"/>
      <c r="I41" s="290" t="s">
        <v>116</v>
      </c>
      <c r="J41" s="148" t="s">
        <v>220</v>
      </c>
      <c r="K41" s="171" t="s">
        <v>221</v>
      </c>
      <c r="L41" s="364">
        <f>(G42/50000)</f>
        <v>5</v>
      </c>
      <c r="M41" s="365"/>
      <c r="N41" s="364">
        <f>(G42/100000)</f>
        <v>2.5</v>
      </c>
      <c r="O41" s="365"/>
      <c r="P41" s="261" t="s">
        <v>85</v>
      </c>
      <c r="Q41" s="283" t="s">
        <v>177</v>
      </c>
    </row>
    <row r="42" spans="1:17" ht="21.75" thickBot="1" x14ac:dyDescent="0.3">
      <c r="A42" s="284"/>
      <c r="B42" s="373"/>
      <c r="C42" s="373"/>
      <c r="D42" s="373"/>
      <c r="E42" s="369" t="s">
        <v>222</v>
      </c>
      <c r="F42" s="370"/>
      <c r="G42" s="371">
        <f>(50000*B6)/1000</f>
        <v>250000</v>
      </c>
      <c r="H42" s="372"/>
      <c r="I42" s="291"/>
      <c r="J42" s="167">
        <v>12</v>
      </c>
      <c r="K42" s="167">
        <v>8</v>
      </c>
      <c r="L42" s="366"/>
      <c r="M42" s="367"/>
      <c r="N42" s="366"/>
      <c r="O42" s="367"/>
      <c r="P42" s="368"/>
      <c r="Q42" s="285"/>
    </row>
    <row r="43" spans="1:17" ht="42.75" thickBot="1" x14ac:dyDescent="0.3">
      <c r="A43" s="172" t="s">
        <v>223</v>
      </c>
      <c r="B43" s="135" t="s">
        <v>196</v>
      </c>
      <c r="C43" s="135" t="s">
        <v>224</v>
      </c>
      <c r="D43" s="135" t="s">
        <v>44</v>
      </c>
      <c r="E43" s="275">
        <v>100</v>
      </c>
      <c r="F43" s="276"/>
      <c r="G43" s="277">
        <f>(E43*B6)/1000</f>
        <v>500</v>
      </c>
      <c r="H43" s="278"/>
      <c r="I43" s="154" t="s">
        <v>64</v>
      </c>
      <c r="J43" s="279">
        <f ca="1">IF(AND(I5&lt;=29,D5&lt;28),12,IF(AND(I5&gt;29,I5&lt;=36,D5&lt;=14),12,IF(AND(I5&gt;36,I5&lt;=45,D5&lt;=7),12,8)))</f>
        <v>8</v>
      </c>
      <c r="K43" s="280"/>
      <c r="L43" s="281">
        <f>(G43/50)</f>
        <v>10</v>
      </c>
      <c r="M43" s="282"/>
      <c r="N43" s="281">
        <f>(G43/200)</f>
        <v>2.5</v>
      </c>
      <c r="O43" s="282"/>
      <c r="P43" s="135" t="s">
        <v>225</v>
      </c>
      <c r="Q43" s="143" t="s">
        <v>194</v>
      </c>
    </row>
    <row r="44" spans="1:17" ht="21" x14ac:dyDescent="0.25">
      <c r="A44" s="283" t="s">
        <v>226</v>
      </c>
      <c r="B44" s="273" t="s">
        <v>33</v>
      </c>
      <c r="C44" s="273" t="s">
        <v>34</v>
      </c>
      <c r="D44" s="287" t="s">
        <v>44</v>
      </c>
      <c r="E44" s="173" t="s">
        <v>171</v>
      </c>
      <c r="F44" s="129" t="s">
        <v>172</v>
      </c>
      <c r="G44" s="148" t="s">
        <v>171</v>
      </c>
      <c r="H44" s="148" t="s">
        <v>172</v>
      </c>
      <c r="I44" s="290" t="s">
        <v>64</v>
      </c>
      <c r="J44" s="323">
        <f ca="1">IF(AND(I5&lt;=29,D5&lt;=14),12,IF(AND(I5&lt;=29,D5&gt;14),8,IF(AND(I5&gt;29,I5&lt;=36,D5&lt;=14),8,IF(AND(I5&gt;29,I5&lt;=36,D5&gt;14),6,IF(AND(I5&gt;36,D5&lt;=7),8,IF(AND(I5&gt;36,D5&gt;7),6))))))</f>
        <v>6</v>
      </c>
      <c r="K44" s="324"/>
      <c r="L44" s="174" t="s">
        <v>171</v>
      </c>
      <c r="M44" s="148" t="s">
        <v>172</v>
      </c>
      <c r="N44" s="148" t="s">
        <v>171</v>
      </c>
      <c r="O44" s="148" t="s">
        <v>172</v>
      </c>
      <c r="P44" s="273" t="s">
        <v>203</v>
      </c>
      <c r="Q44" s="328" t="s">
        <v>227</v>
      </c>
    </row>
    <row r="45" spans="1:17" ht="21.75" thickBot="1" x14ac:dyDescent="0.3">
      <c r="A45" s="285"/>
      <c r="B45" s="264"/>
      <c r="C45" s="264"/>
      <c r="D45" s="341"/>
      <c r="E45" s="142">
        <v>10</v>
      </c>
      <c r="F45" s="142">
        <v>15</v>
      </c>
      <c r="G45" s="162">
        <f>(E45*B6)/1000</f>
        <v>50</v>
      </c>
      <c r="H45" s="162">
        <f>(F45*B6)/1000</f>
        <v>75</v>
      </c>
      <c r="I45" s="268"/>
      <c r="J45" s="325"/>
      <c r="K45" s="326"/>
      <c r="L45" s="152">
        <f>(G45/5)</f>
        <v>10</v>
      </c>
      <c r="M45" s="152">
        <f>(H45/5)</f>
        <v>15</v>
      </c>
      <c r="N45" s="152">
        <f>(G45/10)</f>
        <v>5</v>
      </c>
      <c r="O45" s="152">
        <f>(H45/10)</f>
        <v>7.5</v>
      </c>
      <c r="P45" s="264"/>
      <c r="Q45" s="330"/>
    </row>
    <row r="46" spans="1:17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</row>
    <row r="47" spans="1:17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</row>
    <row r="48" spans="1:17" ht="15.75" thickBot="1" x14ac:dyDescent="0.3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</row>
    <row r="49" spans="1:17" ht="24" thickBot="1" x14ac:dyDescent="0.3">
      <c r="A49" s="358" t="s">
        <v>228</v>
      </c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60"/>
    </row>
    <row r="50" spans="1:17" ht="21.75" thickBot="1" x14ac:dyDescent="0.3">
      <c r="A50" s="361" t="s">
        <v>13</v>
      </c>
      <c r="B50" s="362"/>
      <c r="C50" s="362"/>
      <c r="D50" s="362"/>
      <c r="E50" s="362"/>
      <c r="F50" s="363"/>
      <c r="G50" s="361" t="s">
        <v>62</v>
      </c>
      <c r="H50" s="362"/>
      <c r="I50" s="362"/>
      <c r="J50" s="362"/>
      <c r="K50" s="362"/>
      <c r="L50" s="362"/>
      <c r="M50" s="362"/>
      <c r="N50" s="362"/>
      <c r="O50" s="362"/>
      <c r="P50" s="362"/>
      <c r="Q50" s="363"/>
    </row>
    <row r="51" spans="1:17" ht="21.75" thickBot="1" x14ac:dyDescent="0.3">
      <c r="A51" s="345" t="s">
        <v>14</v>
      </c>
      <c r="B51" s="352" t="s">
        <v>30</v>
      </c>
      <c r="C51" s="353"/>
      <c r="D51" s="347" t="s">
        <v>43</v>
      </c>
      <c r="E51" s="349" t="s">
        <v>164</v>
      </c>
      <c r="F51" s="350"/>
      <c r="G51" s="349" t="s">
        <v>165</v>
      </c>
      <c r="H51" s="356"/>
      <c r="I51" s="350"/>
      <c r="J51" s="349" t="s">
        <v>166</v>
      </c>
      <c r="K51" s="350"/>
      <c r="L51" s="342" t="s">
        <v>136</v>
      </c>
      <c r="M51" s="343"/>
      <c r="N51" s="343"/>
      <c r="O51" s="344"/>
      <c r="P51" s="347" t="s">
        <v>68</v>
      </c>
      <c r="Q51" s="347" t="s">
        <v>69</v>
      </c>
    </row>
    <row r="52" spans="1:17" ht="63.75" thickBot="1" x14ac:dyDescent="0.3">
      <c r="A52" s="346"/>
      <c r="B52" s="175" t="s">
        <v>167</v>
      </c>
      <c r="C52" s="175" t="s">
        <v>168</v>
      </c>
      <c r="D52" s="348"/>
      <c r="E52" s="354"/>
      <c r="F52" s="355"/>
      <c r="G52" s="354"/>
      <c r="H52" s="357"/>
      <c r="I52" s="355"/>
      <c r="J52" s="354"/>
      <c r="K52" s="355"/>
      <c r="L52" s="349" t="s">
        <v>167</v>
      </c>
      <c r="M52" s="350"/>
      <c r="N52" s="349" t="s">
        <v>168</v>
      </c>
      <c r="O52" s="350"/>
      <c r="P52" s="348"/>
      <c r="Q52" s="348"/>
    </row>
    <row r="53" spans="1:17" ht="21.75" thickBot="1" x14ac:dyDescent="0.3">
      <c r="A53" s="134" t="s">
        <v>229</v>
      </c>
      <c r="B53" s="275" t="s">
        <v>230</v>
      </c>
      <c r="C53" s="276"/>
      <c r="D53" s="135" t="s">
        <v>44</v>
      </c>
      <c r="E53" s="275">
        <v>20</v>
      </c>
      <c r="F53" s="276"/>
      <c r="G53" s="277">
        <f>(E53*B6)/1000</f>
        <v>100</v>
      </c>
      <c r="H53" s="351"/>
      <c r="I53" s="179" t="s">
        <v>64</v>
      </c>
      <c r="J53" s="279">
        <f ca="1">IF(AND(I5&lt;=33),12,8)</f>
        <v>8</v>
      </c>
      <c r="K53" s="280"/>
      <c r="L53" s="281">
        <f>(G53/7)</f>
        <v>14.285714285714286</v>
      </c>
      <c r="M53" s="331"/>
      <c r="N53" s="331"/>
      <c r="O53" s="282"/>
      <c r="P53" s="135" t="s">
        <v>203</v>
      </c>
      <c r="Q53" s="143" t="s">
        <v>177</v>
      </c>
    </row>
    <row r="54" spans="1:17" ht="21.75" thickBot="1" x14ac:dyDescent="0.4">
      <c r="A54" s="176" t="s">
        <v>231</v>
      </c>
      <c r="B54" s="332" t="s">
        <v>34</v>
      </c>
      <c r="C54" s="333"/>
      <c r="D54" s="177" t="s">
        <v>44</v>
      </c>
      <c r="E54" s="332">
        <v>6</v>
      </c>
      <c r="F54" s="333"/>
      <c r="G54" s="334">
        <f>(E54*B6)/1000</f>
        <v>30</v>
      </c>
      <c r="H54" s="335"/>
      <c r="I54" s="180" t="s">
        <v>64</v>
      </c>
      <c r="J54" s="336">
        <v>12</v>
      </c>
      <c r="K54" s="337"/>
      <c r="L54" s="338">
        <f>(G54/10)</f>
        <v>3</v>
      </c>
      <c r="M54" s="339"/>
      <c r="N54" s="339"/>
      <c r="O54" s="340"/>
      <c r="P54" s="135" t="s">
        <v>203</v>
      </c>
      <c r="Q54" s="143" t="s">
        <v>177</v>
      </c>
    </row>
    <row r="55" spans="1:17" ht="21" x14ac:dyDescent="0.25">
      <c r="A55" s="283" t="s">
        <v>232</v>
      </c>
      <c r="B55" s="286" t="s">
        <v>34</v>
      </c>
      <c r="C55" s="287"/>
      <c r="D55" s="273" t="s">
        <v>181</v>
      </c>
      <c r="E55" s="129" t="s">
        <v>233</v>
      </c>
      <c r="F55" s="173" t="s">
        <v>186</v>
      </c>
      <c r="G55" s="148" t="s">
        <v>233</v>
      </c>
      <c r="H55" s="148" t="s">
        <v>186</v>
      </c>
      <c r="I55" s="148" t="s">
        <v>64</v>
      </c>
      <c r="J55" s="148" t="s">
        <v>233</v>
      </c>
      <c r="K55" s="148" t="s">
        <v>186</v>
      </c>
      <c r="L55" s="148" t="s">
        <v>233</v>
      </c>
      <c r="M55" s="148" t="s">
        <v>186</v>
      </c>
      <c r="N55" s="148" t="s">
        <v>233</v>
      </c>
      <c r="O55" s="148" t="s">
        <v>186</v>
      </c>
      <c r="P55" s="286" t="s">
        <v>76</v>
      </c>
      <c r="Q55" s="328"/>
    </row>
    <row r="56" spans="1:17" ht="42.75" thickBot="1" x14ac:dyDescent="0.3">
      <c r="A56" s="285"/>
      <c r="B56" s="329"/>
      <c r="C56" s="341"/>
      <c r="D56" s="264"/>
      <c r="E56" s="142">
        <v>2</v>
      </c>
      <c r="F56" s="138">
        <f ca="1">IF(AND(I5&lt;37,D5&lt;7),4,IF(AND(I5&lt;37,D5&gt;=7),6,IF(AND(I5&gt;=37),6)))</f>
        <v>6</v>
      </c>
      <c r="G56" s="149">
        <f>(E56*B6)/1000</f>
        <v>10</v>
      </c>
      <c r="H56" s="149">
        <f ca="1">(F56*B6)/1000</f>
        <v>30</v>
      </c>
      <c r="I56" s="150" t="s">
        <v>64</v>
      </c>
      <c r="J56" s="181" t="s">
        <v>234</v>
      </c>
      <c r="K56" s="150">
        <v>12</v>
      </c>
      <c r="L56" s="157">
        <f>(G56/10)</f>
        <v>1</v>
      </c>
      <c r="M56" s="157">
        <f ca="1">(H56/10)</f>
        <v>3</v>
      </c>
      <c r="N56" s="157">
        <f>L56</f>
        <v>1</v>
      </c>
      <c r="O56" s="157">
        <f ca="1">M56</f>
        <v>3</v>
      </c>
      <c r="P56" s="329"/>
      <c r="Q56" s="330"/>
    </row>
    <row r="57" spans="1:17" ht="21.75" thickBot="1" x14ac:dyDescent="0.3">
      <c r="A57" s="134" t="s">
        <v>235</v>
      </c>
      <c r="B57" s="275" t="s">
        <v>236</v>
      </c>
      <c r="C57" s="276"/>
      <c r="D57" s="135" t="s">
        <v>181</v>
      </c>
      <c r="E57" s="275">
        <f ca="1">IF(AND(I5&lt;38),1,IF(AND(I5&gt;=38,I5&lt;=40),1.5,IF(AND(I5&gt;40),3)))</f>
        <v>3</v>
      </c>
      <c r="F57" s="276"/>
      <c r="G57" s="277">
        <f ca="1">(E57*B6)/1000</f>
        <v>15</v>
      </c>
      <c r="H57" s="278"/>
      <c r="I57" s="154" t="s">
        <v>64</v>
      </c>
      <c r="J57" s="279">
        <v>12</v>
      </c>
      <c r="K57" s="280"/>
      <c r="L57" s="281">
        <f ca="1">(G57/12)</f>
        <v>1.25</v>
      </c>
      <c r="M57" s="331"/>
      <c r="N57" s="331"/>
      <c r="O57" s="282"/>
      <c r="P57" s="275" t="s">
        <v>76</v>
      </c>
      <c r="Q57" s="327"/>
    </row>
    <row r="58" spans="1:17" ht="21.75" thickBot="1" x14ac:dyDescent="0.3">
      <c r="A58" s="134" t="s">
        <v>237</v>
      </c>
      <c r="B58" s="136" t="s">
        <v>170</v>
      </c>
      <c r="C58" s="137" t="s">
        <v>196</v>
      </c>
      <c r="D58" s="135" t="s">
        <v>181</v>
      </c>
      <c r="E58" s="275">
        <v>16</v>
      </c>
      <c r="F58" s="276"/>
      <c r="G58" s="277">
        <f>(E58*B6)/1000</f>
        <v>80</v>
      </c>
      <c r="H58" s="278"/>
      <c r="I58" s="154" t="s">
        <v>64</v>
      </c>
      <c r="J58" s="279">
        <v>12</v>
      </c>
      <c r="K58" s="280"/>
      <c r="L58" s="281">
        <f>(G58/30)</f>
        <v>2.6666666666666665</v>
      </c>
      <c r="M58" s="282"/>
      <c r="N58" s="281">
        <f>(G58/50)</f>
        <v>1.6</v>
      </c>
      <c r="O58" s="282"/>
      <c r="P58" s="275" t="s">
        <v>76</v>
      </c>
      <c r="Q58" s="327"/>
    </row>
    <row r="59" spans="1:17" ht="21" x14ac:dyDescent="0.25">
      <c r="A59" s="283" t="s">
        <v>238</v>
      </c>
      <c r="B59" s="321" t="s">
        <v>239</v>
      </c>
      <c r="C59" s="322"/>
      <c r="D59" s="129" t="s">
        <v>44</v>
      </c>
      <c r="E59" s="321">
        <f ca="1">IF(AND(I5&lt;30,D5&lt;30),1.5,IF(AND(I5&lt;30,D5&gt;=30),2.3,IF(AND(I5&gt;=30,I5&lt;35,D5&lt;15),1.5,IF(AND(I5&gt;=30,I5&lt;35,D5&gt;=15),2.3,IF(AND(I5&gt;=35),3)))))</f>
        <v>3</v>
      </c>
      <c r="F59" s="322"/>
      <c r="G59" s="314">
        <f ca="1">(E59*B6)/1000</f>
        <v>15</v>
      </c>
      <c r="H59" s="316"/>
      <c r="I59" s="290" t="s">
        <v>64</v>
      </c>
      <c r="J59" s="323">
        <v>12</v>
      </c>
      <c r="K59" s="324"/>
      <c r="L59" s="314">
        <f ca="1">(G59/4)</f>
        <v>3.75</v>
      </c>
      <c r="M59" s="315"/>
      <c r="N59" s="315"/>
      <c r="O59" s="316"/>
      <c r="P59" s="129" t="s">
        <v>203</v>
      </c>
      <c r="Q59" s="130" t="s">
        <v>177</v>
      </c>
    </row>
    <row r="60" spans="1:17" ht="21.75" thickBot="1" x14ac:dyDescent="0.3">
      <c r="A60" s="285"/>
      <c r="B60" s="317" t="s">
        <v>34</v>
      </c>
      <c r="C60" s="317"/>
      <c r="D60" s="178" t="s">
        <v>181</v>
      </c>
      <c r="E60" s="271">
        <f ca="1">(IF(AND(I5&lt;30,D5&lt;30),2,IF(AND(I5&lt;30,D5&gt;30),3,IF(AND(I5&gt;=30,I5&lt;35,D5&lt;15),2,IF(AND(I5&gt;=30,I5&lt;35,D5&gt;=15),3,IF(AND(I5&gt;=35),4))))))</f>
        <v>4</v>
      </c>
      <c r="F60" s="292"/>
      <c r="G60" s="318">
        <f ca="1">(E60*B6)/1000</f>
        <v>20</v>
      </c>
      <c r="H60" s="319"/>
      <c r="I60" s="268"/>
      <c r="J60" s="325"/>
      <c r="K60" s="326"/>
      <c r="L60" s="318">
        <f ca="1">(G60/10)</f>
        <v>2</v>
      </c>
      <c r="M60" s="320"/>
      <c r="N60" s="320"/>
      <c r="O60" s="319"/>
      <c r="P60" s="271" t="s">
        <v>76</v>
      </c>
      <c r="Q60" s="272"/>
    </row>
    <row r="61" spans="1:17" x14ac:dyDescent="0.25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</row>
    <row r="62" spans="1:17" x14ac:dyDescent="0.2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</row>
    <row r="63" spans="1:17" ht="15.75" thickBot="1" x14ac:dyDescent="0.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</row>
    <row r="64" spans="1:17" ht="24" thickBot="1" x14ac:dyDescent="0.3">
      <c r="A64" s="293" t="s">
        <v>240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5"/>
    </row>
    <row r="65" spans="1:17" ht="21.75" thickBot="1" x14ac:dyDescent="0.3">
      <c r="A65" s="296" t="s">
        <v>13</v>
      </c>
      <c r="B65" s="297"/>
      <c r="C65" s="297"/>
      <c r="D65" s="297"/>
      <c r="E65" s="297"/>
      <c r="F65" s="298"/>
      <c r="G65" s="296" t="s">
        <v>62</v>
      </c>
      <c r="H65" s="297"/>
      <c r="I65" s="297"/>
      <c r="J65" s="297"/>
      <c r="K65" s="297"/>
      <c r="L65" s="297"/>
      <c r="M65" s="297"/>
      <c r="N65" s="297"/>
      <c r="O65" s="297"/>
      <c r="P65" s="297"/>
      <c r="Q65" s="298"/>
    </row>
    <row r="66" spans="1:17" ht="21.75" thickBot="1" x14ac:dyDescent="0.3">
      <c r="A66" s="299" t="s">
        <v>14</v>
      </c>
      <c r="B66" s="301" t="s">
        <v>30</v>
      </c>
      <c r="C66" s="302"/>
      <c r="D66" s="303" t="s">
        <v>43</v>
      </c>
      <c r="E66" s="305" t="s">
        <v>164</v>
      </c>
      <c r="F66" s="306"/>
      <c r="G66" s="305" t="s">
        <v>165</v>
      </c>
      <c r="H66" s="309"/>
      <c r="I66" s="306"/>
      <c r="J66" s="305" t="s">
        <v>166</v>
      </c>
      <c r="K66" s="306"/>
      <c r="L66" s="311" t="s">
        <v>136</v>
      </c>
      <c r="M66" s="312"/>
      <c r="N66" s="312"/>
      <c r="O66" s="313"/>
      <c r="P66" s="303" t="s">
        <v>68</v>
      </c>
      <c r="Q66" s="303" t="s">
        <v>241</v>
      </c>
    </row>
    <row r="67" spans="1:17" ht="63.75" thickBot="1" x14ac:dyDescent="0.3">
      <c r="A67" s="300"/>
      <c r="B67" s="182" t="s">
        <v>167</v>
      </c>
      <c r="C67" s="182" t="s">
        <v>168</v>
      </c>
      <c r="D67" s="304"/>
      <c r="E67" s="307"/>
      <c r="F67" s="308"/>
      <c r="G67" s="307"/>
      <c r="H67" s="310"/>
      <c r="I67" s="308"/>
      <c r="J67" s="307"/>
      <c r="K67" s="308"/>
      <c r="L67" s="305" t="s">
        <v>167</v>
      </c>
      <c r="M67" s="306"/>
      <c r="N67" s="305" t="s">
        <v>168</v>
      </c>
      <c r="O67" s="306"/>
      <c r="P67" s="304"/>
      <c r="Q67" s="304"/>
    </row>
    <row r="68" spans="1:17" ht="42.75" thickBot="1" x14ac:dyDescent="0.3">
      <c r="A68" s="172" t="s">
        <v>242</v>
      </c>
      <c r="B68" s="135" t="s">
        <v>243</v>
      </c>
      <c r="C68" s="135" t="s">
        <v>129</v>
      </c>
      <c r="D68" s="135" t="s">
        <v>44</v>
      </c>
      <c r="E68" s="275">
        <v>1</v>
      </c>
      <c r="F68" s="276"/>
      <c r="G68" s="277">
        <f>(E68*B6)/1000</f>
        <v>5</v>
      </c>
      <c r="H68" s="278"/>
      <c r="I68" s="154" t="s">
        <v>64</v>
      </c>
      <c r="J68" s="279">
        <v>24</v>
      </c>
      <c r="K68" s="280"/>
      <c r="L68" s="281">
        <f>(G68/0.1)</f>
        <v>50</v>
      </c>
      <c r="M68" s="282"/>
      <c r="N68" s="281">
        <f>(G68/0.5)</f>
        <v>10</v>
      </c>
      <c r="O68" s="282"/>
      <c r="P68" s="190" t="s">
        <v>244</v>
      </c>
      <c r="Q68" s="143" t="s">
        <v>245</v>
      </c>
    </row>
    <row r="69" spans="1:17" ht="21.75" thickBot="1" x14ac:dyDescent="0.3">
      <c r="A69" s="172" t="s">
        <v>246</v>
      </c>
      <c r="B69" s="135" t="s">
        <v>129</v>
      </c>
      <c r="C69" s="135" t="s">
        <v>42</v>
      </c>
      <c r="D69" s="135" t="s">
        <v>44</v>
      </c>
      <c r="E69" s="275">
        <v>3</v>
      </c>
      <c r="F69" s="276"/>
      <c r="G69" s="277">
        <f>(E69*B6)/1000</f>
        <v>15</v>
      </c>
      <c r="H69" s="278"/>
      <c r="I69" s="154" t="s">
        <v>64</v>
      </c>
      <c r="J69" s="279">
        <v>24</v>
      </c>
      <c r="K69" s="280"/>
      <c r="L69" s="281">
        <f>(G69/0.5)</f>
        <v>30</v>
      </c>
      <c r="M69" s="282"/>
      <c r="N69" s="281">
        <f>(G69/2)</f>
        <v>7.5</v>
      </c>
      <c r="O69" s="282"/>
      <c r="P69" s="190" t="s">
        <v>85</v>
      </c>
      <c r="Q69" s="143" t="s">
        <v>227</v>
      </c>
    </row>
    <row r="70" spans="1:17" ht="21.75" thickBot="1" x14ac:dyDescent="0.3">
      <c r="A70" s="134" t="s">
        <v>247</v>
      </c>
      <c r="B70" s="275" t="s">
        <v>129</v>
      </c>
      <c r="C70" s="276"/>
      <c r="D70" s="135" t="s">
        <v>44</v>
      </c>
      <c r="E70" s="275">
        <v>2</v>
      </c>
      <c r="F70" s="276"/>
      <c r="G70" s="277">
        <f>(E70*B6)/1000</f>
        <v>10</v>
      </c>
      <c r="H70" s="278"/>
      <c r="I70" s="154" t="s">
        <v>64</v>
      </c>
      <c r="J70" s="279">
        <v>24</v>
      </c>
      <c r="K70" s="280"/>
      <c r="L70" s="281">
        <f>(G70/0.5)</f>
        <v>20</v>
      </c>
      <c r="M70" s="282"/>
      <c r="N70" s="281">
        <f>(G70/0.5)</f>
        <v>20</v>
      </c>
      <c r="O70" s="282"/>
      <c r="P70" s="135" t="s">
        <v>212</v>
      </c>
      <c r="Q70" s="143" t="s">
        <v>194</v>
      </c>
    </row>
    <row r="71" spans="1:17" ht="21" x14ac:dyDescent="0.25">
      <c r="A71" s="283" t="s">
        <v>248</v>
      </c>
      <c r="B71" s="286" t="s">
        <v>42</v>
      </c>
      <c r="C71" s="287"/>
      <c r="D71" s="273" t="s">
        <v>44</v>
      </c>
      <c r="E71" s="129" t="s">
        <v>233</v>
      </c>
      <c r="F71" s="129" t="s">
        <v>186</v>
      </c>
      <c r="G71" s="148" t="s">
        <v>233</v>
      </c>
      <c r="H71" s="148" t="s">
        <v>186</v>
      </c>
      <c r="I71" s="290" t="s">
        <v>64</v>
      </c>
      <c r="J71" s="148" t="s">
        <v>233</v>
      </c>
      <c r="K71" s="148" t="s">
        <v>186</v>
      </c>
      <c r="L71" s="148" t="s">
        <v>233</v>
      </c>
      <c r="M71" s="148" t="s">
        <v>186</v>
      </c>
      <c r="N71" s="148" t="s">
        <v>233</v>
      </c>
      <c r="O71" s="148" t="s">
        <v>186</v>
      </c>
      <c r="P71" s="273" t="s">
        <v>203</v>
      </c>
      <c r="Q71" s="261" t="s">
        <v>194</v>
      </c>
    </row>
    <row r="72" spans="1:17" ht="21" x14ac:dyDescent="0.25">
      <c r="A72" s="284"/>
      <c r="B72" s="288"/>
      <c r="C72" s="289"/>
      <c r="D72" s="274"/>
      <c r="E72" s="263">
        <v>3</v>
      </c>
      <c r="F72" s="263">
        <v>12</v>
      </c>
      <c r="G72" s="265">
        <f>(E72*B6)/1000</f>
        <v>15</v>
      </c>
      <c r="H72" s="265">
        <f>(F72*B6)/1000</f>
        <v>60</v>
      </c>
      <c r="I72" s="291"/>
      <c r="J72" s="267" t="s">
        <v>249</v>
      </c>
      <c r="K72" s="267">
        <f ca="1">IF(AND(I5&lt;=29,D5&lt;=14),48,IF(AND(I5&lt;=29,D5&gt;14),24,IF(AND(I5&gt;=30,D5&lt;=7),48,IF(AND(I5&gt;=30,D5&gt;7),24))))</f>
        <v>24</v>
      </c>
      <c r="L72" s="189">
        <f>(G72/2)</f>
        <v>7.5</v>
      </c>
      <c r="M72" s="189">
        <f>(H72/2)</f>
        <v>30</v>
      </c>
      <c r="N72" s="189">
        <f>L72</f>
        <v>7.5</v>
      </c>
      <c r="O72" s="189">
        <f>M72</f>
        <v>30</v>
      </c>
      <c r="P72" s="274"/>
      <c r="Q72" s="262"/>
    </row>
    <row r="73" spans="1:17" ht="21.75" thickBot="1" x14ac:dyDescent="0.3">
      <c r="A73" s="285"/>
      <c r="B73" s="271" t="s">
        <v>76</v>
      </c>
      <c r="C73" s="292"/>
      <c r="D73" s="142" t="s">
        <v>181</v>
      </c>
      <c r="E73" s="264"/>
      <c r="F73" s="264"/>
      <c r="G73" s="266"/>
      <c r="H73" s="266"/>
      <c r="I73" s="268"/>
      <c r="J73" s="268"/>
      <c r="K73" s="268"/>
      <c r="L73" s="269" t="s">
        <v>76</v>
      </c>
      <c r="M73" s="270"/>
      <c r="N73" s="269" t="s">
        <v>76</v>
      </c>
      <c r="O73" s="270"/>
      <c r="P73" s="271" t="s">
        <v>76</v>
      </c>
      <c r="Q73" s="272"/>
    </row>
  </sheetData>
  <sheetProtection sheet="1" objects="1" scenarios="1" selectLockedCells="1"/>
  <mergeCells count="251">
    <mergeCell ref="A1:G1"/>
    <mergeCell ref="I1:K1"/>
    <mergeCell ref="B3:K3"/>
    <mergeCell ref="B4:K4"/>
    <mergeCell ref="G5:H5"/>
    <mergeCell ref="A8:Q8"/>
    <mergeCell ref="A9:F9"/>
    <mergeCell ref="G9:Q9"/>
    <mergeCell ref="A10:A11"/>
    <mergeCell ref="B10:C10"/>
    <mergeCell ref="D10:D11"/>
    <mergeCell ref="E10:F11"/>
    <mergeCell ref="G10:I11"/>
    <mergeCell ref="J10:K11"/>
    <mergeCell ref="L10:O10"/>
    <mergeCell ref="P10:P11"/>
    <mergeCell ref="Q10:Q11"/>
    <mergeCell ref="L11:M11"/>
    <mergeCell ref="N11:O11"/>
    <mergeCell ref="G6:H6"/>
    <mergeCell ref="A12:A13"/>
    <mergeCell ref="B12:B13"/>
    <mergeCell ref="C12:C13"/>
    <mergeCell ref="D12:D13"/>
    <mergeCell ref="P12:P13"/>
    <mergeCell ref="Q12:Q13"/>
    <mergeCell ref="A17:A18"/>
    <mergeCell ref="B17:C18"/>
    <mergeCell ref="D17:D18"/>
    <mergeCell ref="I17:I18"/>
    <mergeCell ref="P17:P18"/>
    <mergeCell ref="E14:F14"/>
    <mergeCell ref="G14:H14"/>
    <mergeCell ref="J14:K14"/>
    <mergeCell ref="L14:M14"/>
    <mergeCell ref="N14:O14"/>
    <mergeCell ref="B15:C15"/>
    <mergeCell ref="E15:F16"/>
    <mergeCell ref="G15:H16"/>
    <mergeCell ref="I15:I16"/>
    <mergeCell ref="J15:K16"/>
    <mergeCell ref="Q17:Q18"/>
    <mergeCell ref="E19:F19"/>
    <mergeCell ref="G19:H19"/>
    <mergeCell ref="J19:K19"/>
    <mergeCell ref="L19:M19"/>
    <mergeCell ref="N19:O19"/>
    <mergeCell ref="L15:O15"/>
    <mergeCell ref="P15:P16"/>
    <mergeCell ref="B16:C16"/>
    <mergeCell ref="L16:O16"/>
    <mergeCell ref="A22:A23"/>
    <mergeCell ref="B22:C23"/>
    <mergeCell ref="D22:D23"/>
    <mergeCell ref="I22:I23"/>
    <mergeCell ref="P22:P23"/>
    <mergeCell ref="Q22:Q23"/>
    <mergeCell ref="A20:A21"/>
    <mergeCell ref="B20:C21"/>
    <mergeCell ref="D20:D21"/>
    <mergeCell ref="I20:I21"/>
    <mergeCell ref="P20:P21"/>
    <mergeCell ref="Q20:Q21"/>
    <mergeCell ref="Q24:Q25"/>
    <mergeCell ref="A26:A27"/>
    <mergeCell ref="B26:C26"/>
    <mergeCell ref="E26:F27"/>
    <mergeCell ref="G26:H27"/>
    <mergeCell ref="I26:I27"/>
    <mergeCell ref="J26:K27"/>
    <mergeCell ref="L26:O26"/>
    <mergeCell ref="B27:C27"/>
    <mergeCell ref="L27:O27"/>
    <mergeCell ref="A24:A25"/>
    <mergeCell ref="B24:B25"/>
    <mergeCell ref="C24:C25"/>
    <mergeCell ref="D24:D25"/>
    <mergeCell ref="I24:I25"/>
    <mergeCell ref="P24:P25"/>
    <mergeCell ref="Q28:Q29"/>
    <mergeCell ref="B30:C30"/>
    <mergeCell ref="E30:F30"/>
    <mergeCell ref="G30:H30"/>
    <mergeCell ref="J30:K30"/>
    <mergeCell ref="L30:O30"/>
    <mergeCell ref="A28:A29"/>
    <mergeCell ref="B28:B29"/>
    <mergeCell ref="C28:C29"/>
    <mergeCell ref="D28:D29"/>
    <mergeCell ref="I28:I29"/>
    <mergeCell ref="P28:P29"/>
    <mergeCell ref="Q31:Q32"/>
    <mergeCell ref="B33:C33"/>
    <mergeCell ref="E33:F33"/>
    <mergeCell ref="G33:H33"/>
    <mergeCell ref="J33:K33"/>
    <mergeCell ref="L33:O33"/>
    <mergeCell ref="A31:A32"/>
    <mergeCell ref="B31:B32"/>
    <mergeCell ref="C31:C32"/>
    <mergeCell ref="D31:D32"/>
    <mergeCell ref="I31:I32"/>
    <mergeCell ref="P31:P32"/>
    <mergeCell ref="E34:F34"/>
    <mergeCell ref="G34:H34"/>
    <mergeCell ref="J34:K34"/>
    <mergeCell ref="L34:M34"/>
    <mergeCell ref="N34:O34"/>
    <mergeCell ref="B35:C35"/>
    <mergeCell ref="E35:F35"/>
    <mergeCell ref="G35:H35"/>
    <mergeCell ref="J35:K35"/>
    <mergeCell ref="L35:O35"/>
    <mergeCell ref="Q36:Q37"/>
    <mergeCell ref="A38:A40"/>
    <mergeCell ref="B38:C39"/>
    <mergeCell ref="D38:D39"/>
    <mergeCell ref="I38:I40"/>
    <mergeCell ref="P38:P39"/>
    <mergeCell ref="Q38:Q39"/>
    <mergeCell ref="B40:C40"/>
    <mergeCell ref="A36:A37"/>
    <mergeCell ref="B36:B37"/>
    <mergeCell ref="C36:C37"/>
    <mergeCell ref="D36:D37"/>
    <mergeCell ref="I36:I37"/>
    <mergeCell ref="P36:P37"/>
    <mergeCell ref="I41:I42"/>
    <mergeCell ref="L41:M42"/>
    <mergeCell ref="N41:O42"/>
    <mergeCell ref="P41:P42"/>
    <mergeCell ref="Q41:Q42"/>
    <mergeCell ref="E42:F42"/>
    <mergeCell ref="G42:H42"/>
    <mergeCell ref="A41:A42"/>
    <mergeCell ref="B41:B42"/>
    <mergeCell ref="C41:C42"/>
    <mergeCell ref="D41:D42"/>
    <mergeCell ref="E41:F41"/>
    <mergeCell ref="G41:H41"/>
    <mergeCell ref="J44:K45"/>
    <mergeCell ref="P44:P45"/>
    <mergeCell ref="Q44:Q45"/>
    <mergeCell ref="A49:Q49"/>
    <mergeCell ref="A50:F50"/>
    <mergeCell ref="G50:Q50"/>
    <mergeCell ref="E43:F43"/>
    <mergeCell ref="G43:H43"/>
    <mergeCell ref="J43:K43"/>
    <mergeCell ref="L43:M43"/>
    <mergeCell ref="N43:O43"/>
    <mergeCell ref="A44:A45"/>
    <mergeCell ref="B44:B45"/>
    <mergeCell ref="C44:C45"/>
    <mergeCell ref="D44:D45"/>
    <mergeCell ref="I44:I45"/>
    <mergeCell ref="P51:P52"/>
    <mergeCell ref="Q51:Q52"/>
    <mergeCell ref="L52:M52"/>
    <mergeCell ref="N52:O52"/>
    <mergeCell ref="B53:C53"/>
    <mergeCell ref="E53:F53"/>
    <mergeCell ref="G53:H53"/>
    <mergeCell ref="J53:K53"/>
    <mergeCell ref="L53:O53"/>
    <mergeCell ref="B51:C51"/>
    <mergeCell ref="D51:D52"/>
    <mergeCell ref="E51:F52"/>
    <mergeCell ref="G51:I52"/>
    <mergeCell ref="J51:K52"/>
    <mergeCell ref="B54:C54"/>
    <mergeCell ref="E54:F54"/>
    <mergeCell ref="G54:H54"/>
    <mergeCell ref="J54:K54"/>
    <mergeCell ref="L54:O54"/>
    <mergeCell ref="A55:A56"/>
    <mergeCell ref="B55:C56"/>
    <mergeCell ref="D55:D56"/>
    <mergeCell ref="L51:O51"/>
    <mergeCell ref="A51:A52"/>
    <mergeCell ref="E58:F58"/>
    <mergeCell ref="G58:H58"/>
    <mergeCell ref="J58:K58"/>
    <mergeCell ref="L58:M58"/>
    <mergeCell ref="N58:O58"/>
    <mergeCell ref="P58:Q58"/>
    <mergeCell ref="P55:Q56"/>
    <mergeCell ref="B57:C57"/>
    <mergeCell ref="E57:F57"/>
    <mergeCell ref="G57:H57"/>
    <mergeCell ref="J57:K57"/>
    <mergeCell ref="L57:O57"/>
    <mergeCell ref="P57:Q57"/>
    <mergeCell ref="L59:O59"/>
    <mergeCell ref="B60:C60"/>
    <mergeCell ref="E60:F60"/>
    <mergeCell ref="G60:H60"/>
    <mergeCell ref="L60:O60"/>
    <mergeCell ref="P60:Q60"/>
    <mergeCell ref="A59:A60"/>
    <mergeCell ref="B59:C59"/>
    <mergeCell ref="E59:F59"/>
    <mergeCell ref="G59:H59"/>
    <mergeCell ref="I59:I60"/>
    <mergeCell ref="J59:K60"/>
    <mergeCell ref="A64:Q64"/>
    <mergeCell ref="A65:F65"/>
    <mergeCell ref="G65:Q65"/>
    <mergeCell ref="A66:A67"/>
    <mergeCell ref="B66:C66"/>
    <mergeCell ref="D66:D67"/>
    <mergeCell ref="E66:F67"/>
    <mergeCell ref="G66:I67"/>
    <mergeCell ref="J66:K67"/>
    <mergeCell ref="L66:O66"/>
    <mergeCell ref="P66:P67"/>
    <mergeCell ref="Q66:Q67"/>
    <mergeCell ref="L67:M67"/>
    <mergeCell ref="N67:O67"/>
    <mergeCell ref="E68:F68"/>
    <mergeCell ref="G68:H68"/>
    <mergeCell ref="J68:K68"/>
    <mergeCell ref="L68:M68"/>
    <mergeCell ref="N68:O68"/>
    <mergeCell ref="N70:O70"/>
    <mergeCell ref="A71:A73"/>
    <mergeCell ref="B71:C72"/>
    <mergeCell ref="D71:D72"/>
    <mergeCell ref="I71:I73"/>
    <mergeCell ref="B73:C73"/>
    <mergeCell ref="E69:F69"/>
    <mergeCell ref="G69:H69"/>
    <mergeCell ref="J69:K69"/>
    <mergeCell ref="L69:M69"/>
    <mergeCell ref="N69:O69"/>
    <mergeCell ref="B70:C70"/>
    <mergeCell ref="E70:F70"/>
    <mergeCell ref="G70:H70"/>
    <mergeCell ref="J70:K70"/>
    <mergeCell ref="L70:M70"/>
    <mergeCell ref="Q71:Q72"/>
    <mergeCell ref="E72:E73"/>
    <mergeCell ref="F72:F73"/>
    <mergeCell ref="G72:G73"/>
    <mergeCell ref="H72:H73"/>
    <mergeCell ref="J72:J73"/>
    <mergeCell ref="K72:K73"/>
    <mergeCell ref="L73:M73"/>
    <mergeCell ref="N73:O73"/>
    <mergeCell ref="P73:Q73"/>
    <mergeCell ref="P71:P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A15" workbookViewId="0">
      <selection activeCell="K8" sqref="K8"/>
    </sheetView>
  </sheetViews>
  <sheetFormatPr baseColWidth="10" defaultRowHeight="15" x14ac:dyDescent="0.25"/>
  <cols>
    <col min="1" max="1" width="27" bestFit="1" customWidth="1"/>
    <col min="2" max="2" width="20.5703125" customWidth="1"/>
    <col min="3" max="3" width="19.85546875" customWidth="1"/>
    <col min="5" max="5" width="31.28515625" bestFit="1" customWidth="1"/>
  </cols>
  <sheetData>
    <row r="1" spans="1:11" ht="24" thickBot="1" x14ac:dyDescent="0.4">
      <c r="A1" s="248" t="s">
        <v>0</v>
      </c>
      <c r="B1" s="249"/>
      <c r="C1" s="249"/>
      <c r="D1" s="249"/>
      <c r="E1" s="249"/>
      <c r="F1" s="249"/>
      <c r="G1" s="249"/>
      <c r="H1" s="2" t="s">
        <v>1</v>
      </c>
      <c r="I1" s="250">
        <f ca="1">+TODAY()</f>
        <v>46060</v>
      </c>
      <c r="J1" s="251"/>
      <c r="K1" s="252"/>
    </row>
    <row r="2" spans="1:11" ht="15.75" thickBot="1" x14ac:dyDescent="0.3"/>
    <row r="3" spans="1:11" ht="21.75" thickBot="1" x14ac:dyDescent="0.3">
      <c r="A3" s="29" t="s">
        <v>2</v>
      </c>
      <c r="B3" s="420">
        <f>Medicamentos!B3</f>
        <v>0</v>
      </c>
      <c r="C3" s="421"/>
      <c r="D3" s="421"/>
      <c r="E3" s="421"/>
      <c r="F3" s="421"/>
      <c r="G3" s="421"/>
      <c r="H3" s="421"/>
      <c r="I3" s="421"/>
      <c r="J3" s="421"/>
      <c r="K3" s="422"/>
    </row>
    <row r="4" spans="1:11" ht="21.75" thickBot="1" x14ac:dyDescent="0.3">
      <c r="A4" s="29" t="s">
        <v>3</v>
      </c>
      <c r="B4" s="420">
        <f>Medicamentos!B4</f>
        <v>0</v>
      </c>
      <c r="C4" s="421"/>
      <c r="D4" s="421"/>
      <c r="E4" s="421"/>
      <c r="F4" s="421"/>
      <c r="G4" s="421"/>
      <c r="H4" s="421"/>
      <c r="I4" s="421"/>
      <c r="J4" s="421"/>
      <c r="K4" s="422"/>
    </row>
    <row r="5" spans="1:11" ht="21.75" thickBot="1" x14ac:dyDescent="0.3">
      <c r="A5" s="29" t="s">
        <v>4</v>
      </c>
      <c r="B5" s="30">
        <f>Medicamentos!B5</f>
        <v>0</v>
      </c>
      <c r="C5" s="29" t="s">
        <v>6</v>
      </c>
      <c r="D5" s="31"/>
      <c r="E5" s="29" t="s">
        <v>9</v>
      </c>
      <c r="F5" s="29">
        <f>Medicamentos!F5</f>
        <v>0</v>
      </c>
      <c r="G5" s="259" t="s">
        <v>10</v>
      </c>
      <c r="H5" s="260"/>
      <c r="I5" s="32">
        <f>F5+(D5/7)</f>
        <v>0</v>
      </c>
      <c r="J5" s="32" t="s">
        <v>11</v>
      </c>
      <c r="K5" s="33">
        <f>((F5+(D5/7))-(INT(I5)))*7</f>
        <v>0</v>
      </c>
    </row>
    <row r="6" spans="1:11" ht="21.75" thickBot="1" x14ac:dyDescent="0.3">
      <c r="A6" s="29" t="s">
        <v>5</v>
      </c>
      <c r="B6" s="34">
        <v>800</v>
      </c>
      <c r="C6" s="29" t="s">
        <v>7</v>
      </c>
      <c r="D6" s="29">
        <v>34</v>
      </c>
      <c r="E6" s="29" t="s">
        <v>8</v>
      </c>
      <c r="F6" s="37">
        <f>+((B6/1000*4)+7)/(90+B6/1000)</f>
        <v>0.11233480176211454</v>
      </c>
      <c r="G6" s="3"/>
      <c r="H6" s="3"/>
      <c r="I6" s="3"/>
      <c r="J6" s="3"/>
      <c r="K6" s="3"/>
    </row>
    <row r="7" spans="1:11" ht="15.75" thickBot="1" x14ac:dyDescent="0.3"/>
    <row r="8" spans="1:11" ht="24" thickBot="1" x14ac:dyDescent="0.3">
      <c r="A8" s="240" t="s">
        <v>12</v>
      </c>
      <c r="B8" s="241"/>
      <c r="C8" s="241"/>
      <c r="D8" s="241"/>
      <c r="E8" s="241"/>
      <c r="F8" s="241"/>
      <c r="G8" s="241"/>
      <c r="H8" s="241"/>
      <c r="I8" s="241"/>
      <c r="J8" s="242"/>
    </row>
    <row r="9" spans="1:11" ht="21.75" thickBot="1" x14ac:dyDescent="0.3">
      <c r="A9" s="245" t="s">
        <v>13</v>
      </c>
      <c r="B9" s="247"/>
      <c r="C9" s="247"/>
      <c r="D9" s="246"/>
      <c r="E9" s="245" t="s">
        <v>62</v>
      </c>
      <c r="F9" s="247"/>
      <c r="G9" s="247"/>
      <c r="H9" s="247"/>
      <c r="I9" s="247"/>
      <c r="J9" s="246"/>
    </row>
    <row r="10" spans="1:11" ht="63.75" thickBot="1" x14ac:dyDescent="0.3">
      <c r="A10" s="15" t="s">
        <v>14</v>
      </c>
      <c r="B10" s="14" t="s">
        <v>30</v>
      </c>
      <c r="C10" s="14" t="s">
        <v>43</v>
      </c>
      <c r="D10" s="14" t="s">
        <v>48</v>
      </c>
      <c r="E10" s="243" t="s">
        <v>63</v>
      </c>
      <c r="F10" s="244"/>
      <c r="G10" s="245" t="s">
        <v>66</v>
      </c>
      <c r="H10" s="246"/>
      <c r="I10" s="14" t="s">
        <v>68</v>
      </c>
      <c r="J10" s="14" t="s">
        <v>69</v>
      </c>
    </row>
    <row r="11" spans="1:11" ht="42.75" thickBot="1" x14ac:dyDescent="0.3">
      <c r="A11" s="5" t="s">
        <v>158</v>
      </c>
      <c r="B11" s="8" t="s">
        <v>159</v>
      </c>
      <c r="C11" s="8" t="s">
        <v>44</v>
      </c>
      <c r="D11" s="104" t="s">
        <v>160</v>
      </c>
      <c r="E11" s="106">
        <f>(1*B6)/1000</f>
        <v>0.8</v>
      </c>
      <c r="F11" s="23" t="s">
        <v>161</v>
      </c>
      <c r="G11" s="89">
        <f>(E11*100)/20</f>
        <v>4</v>
      </c>
      <c r="H11" s="21" t="s">
        <v>67</v>
      </c>
      <c r="I11" s="8" t="s">
        <v>125</v>
      </c>
      <c r="J11" s="8" t="s">
        <v>162</v>
      </c>
    </row>
    <row r="12" spans="1:11" ht="42.75" thickBot="1" x14ac:dyDescent="0.3">
      <c r="A12" s="12" t="s">
        <v>118</v>
      </c>
      <c r="B12" s="12" t="s">
        <v>119</v>
      </c>
      <c r="C12" s="12" t="s">
        <v>44</v>
      </c>
      <c r="D12" s="107" t="s">
        <v>120</v>
      </c>
      <c r="E12" s="95">
        <f>(B6*5)/1000</f>
        <v>4</v>
      </c>
      <c r="F12" s="23" t="s">
        <v>64</v>
      </c>
      <c r="G12" s="16">
        <f>(E12/1.5)</f>
        <v>2.6666666666666665</v>
      </c>
      <c r="H12" s="23" t="s">
        <v>67</v>
      </c>
      <c r="I12" s="39" t="s">
        <v>82</v>
      </c>
      <c r="J12" s="12" t="s">
        <v>121</v>
      </c>
    </row>
    <row r="13" spans="1:11" s="114" customFormat="1" ht="42.75" thickBot="1" x14ac:dyDescent="0.3">
      <c r="A13" s="12" t="s">
        <v>287</v>
      </c>
      <c r="B13" s="12" t="s">
        <v>243</v>
      </c>
      <c r="C13" s="12" t="s">
        <v>44</v>
      </c>
      <c r="D13" s="107" t="s">
        <v>288</v>
      </c>
      <c r="E13" s="95">
        <f>(B6*0.01)/1000</f>
        <v>8.0000000000000002E-3</v>
      </c>
      <c r="F13" s="23" t="s">
        <v>64</v>
      </c>
      <c r="G13" s="48">
        <f>(E13/0.1)</f>
        <v>0.08</v>
      </c>
      <c r="H13" s="23" t="s">
        <v>67</v>
      </c>
      <c r="I13" s="39" t="s">
        <v>82</v>
      </c>
      <c r="J13" s="45" t="s">
        <v>72</v>
      </c>
    </row>
    <row r="14" spans="1:11" ht="42.75" thickBot="1" x14ac:dyDescent="0.4">
      <c r="A14" s="25" t="s">
        <v>122</v>
      </c>
      <c r="B14" s="25" t="s">
        <v>123</v>
      </c>
      <c r="C14" s="25" t="s">
        <v>124</v>
      </c>
      <c r="D14" s="108" t="s">
        <v>256</v>
      </c>
      <c r="E14" s="109">
        <f>(B6*100)/1000</f>
        <v>80</v>
      </c>
      <c r="F14" s="41" t="s">
        <v>64</v>
      </c>
      <c r="G14" s="42">
        <f>(E14/50)</f>
        <v>1.6</v>
      </c>
      <c r="H14" s="41" t="s">
        <v>67</v>
      </c>
      <c r="I14" s="25" t="s">
        <v>125</v>
      </c>
      <c r="J14" s="40" t="s">
        <v>73</v>
      </c>
    </row>
    <row r="15" spans="1:11" ht="42.75" thickBot="1" x14ac:dyDescent="0.3">
      <c r="A15" s="12" t="s">
        <v>126</v>
      </c>
      <c r="B15" s="44" t="s">
        <v>37</v>
      </c>
      <c r="C15" s="12" t="s">
        <v>44</v>
      </c>
      <c r="D15" s="110" t="s">
        <v>127</v>
      </c>
      <c r="E15" s="95">
        <f>(B6*25)/1000</f>
        <v>20</v>
      </c>
      <c r="F15" s="46" t="s">
        <v>64</v>
      </c>
      <c r="G15" s="16">
        <f>(E15/100)</f>
        <v>0.2</v>
      </c>
      <c r="H15" s="46" t="s">
        <v>67</v>
      </c>
      <c r="I15" s="39" t="s">
        <v>82</v>
      </c>
      <c r="J15" s="45" t="s">
        <v>72</v>
      </c>
    </row>
    <row r="16" spans="1:11" ht="42.75" thickBot="1" x14ac:dyDescent="0.3">
      <c r="A16" s="43" t="s">
        <v>128</v>
      </c>
      <c r="B16" s="8" t="s">
        <v>129</v>
      </c>
      <c r="C16" s="44" t="s">
        <v>44</v>
      </c>
      <c r="D16" s="107" t="s">
        <v>49</v>
      </c>
      <c r="E16" s="111">
        <f>(B6*0.1)/1000</f>
        <v>0.08</v>
      </c>
      <c r="F16" s="23" t="s">
        <v>64</v>
      </c>
      <c r="G16" s="46">
        <f>(E16/0.5)</f>
        <v>0.16</v>
      </c>
      <c r="H16" s="23" t="s">
        <v>67</v>
      </c>
      <c r="I16" s="12" t="s">
        <v>85</v>
      </c>
      <c r="J16" s="45" t="s">
        <v>73</v>
      </c>
    </row>
    <row r="17" spans="1:10" ht="21.75" thickBot="1" x14ac:dyDescent="0.3">
      <c r="A17" s="47"/>
      <c r="B17" s="47"/>
      <c r="C17" s="47"/>
      <c r="D17" s="47"/>
      <c r="E17" s="47"/>
      <c r="F17" s="47"/>
      <c r="G17" s="47"/>
      <c r="H17" s="47"/>
      <c r="I17" s="47"/>
      <c r="J17" s="47"/>
    </row>
    <row r="18" spans="1:10" ht="24" thickBot="1" x14ac:dyDescent="0.4">
      <c r="A18" s="235" t="s">
        <v>86</v>
      </c>
      <c r="B18" s="236"/>
      <c r="C18" s="236"/>
      <c r="D18" s="236"/>
      <c r="E18" s="236"/>
      <c r="F18" s="236"/>
      <c r="G18" s="236"/>
      <c r="H18" s="237"/>
    </row>
    <row r="19" spans="1:10" ht="21.75" thickBot="1" x14ac:dyDescent="0.4">
      <c r="A19" s="224" t="s">
        <v>13</v>
      </c>
      <c r="B19" s="225"/>
      <c r="C19" s="226"/>
      <c r="D19" s="224" t="s">
        <v>62</v>
      </c>
      <c r="E19" s="225"/>
      <c r="F19" s="225"/>
      <c r="G19" s="225"/>
      <c r="H19" s="226"/>
    </row>
    <row r="20" spans="1:10" ht="63.75" thickBot="1" x14ac:dyDescent="0.4">
      <c r="A20" s="35" t="s">
        <v>14</v>
      </c>
      <c r="B20" s="36" t="s">
        <v>94</v>
      </c>
      <c r="C20" s="35" t="s">
        <v>95</v>
      </c>
      <c r="D20" s="36" t="s">
        <v>157</v>
      </c>
      <c r="E20" s="227" t="s">
        <v>111</v>
      </c>
      <c r="F20" s="228"/>
      <c r="G20" s="222" t="s">
        <v>112</v>
      </c>
      <c r="H20" s="223"/>
    </row>
    <row r="21" spans="1:10" ht="42.75" thickBot="1" x14ac:dyDescent="0.3">
      <c r="A21" s="12" t="s">
        <v>118</v>
      </c>
      <c r="B21" s="44" t="s">
        <v>130</v>
      </c>
      <c r="C21" s="12" t="s">
        <v>131</v>
      </c>
      <c r="D21" s="111">
        <v>15</v>
      </c>
      <c r="E21" s="220" t="s">
        <v>132</v>
      </c>
      <c r="F21" s="221"/>
      <c r="G21" s="48">
        <f>(B6*D21*24*60)/1000/1000</f>
        <v>17.28</v>
      </c>
      <c r="H21" s="23" t="s">
        <v>64</v>
      </c>
    </row>
    <row r="22" spans="1:10" ht="42.75" thickBot="1" x14ac:dyDescent="0.3">
      <c r="A22" s="12" t="s">
        <v>251</v>
      </c>
      <c r="B22" s="44" t="s">
        <v>252</v>
      </c>
      <c r="C22" s="12" t="s">
        <v>131</v>
      </c>
      <c r="D22" s="111">
        <v>15</v>
      </c>
      <c r="E22" s="220" t="s">
        <v>132</v>
      </c>
      <c r="F22" s="221"/>
      <c r="G22" s="48">
        <f>(B6*D22*24*60)/1000/1000</f>
        <v>17.28</v>
      </c>
      <c r="H22" s="23" t="s">
        <v>64</v>
      </c>
    </row>
    <row r="23" spans="1:10" ht="42.75" thickBot="1" x14ac:dyDescent="0.3">
      <c r="A23" s="12" t="s">
        <v>253</v>
      </c>
      <c r="B23" s="44" t="s">
        <v>254</v>
      </c>
      <c r="C23" s="12" t="s">
        <v>81</v>
      </c>
      <c r="D23" s="111">
        <v>1</v>
      </c>
      <c r="E23" s="220" t="s">
        <v>255</v>
      </c>
      <c r="F23" s="221"/>
      <c r="G23" s="48">
        <f>(B6*D23*24)/1000</f>
        <v>19.2</v>
      </c>
      <c r="H23" s="23" t="s">
        <v>64</v>
      </c>
    </row>
    <row r="24" spans="1:10" s="114" customFormat="1" ht="42.75" thickBot="1" x14ac:dyDescent="0.3">
      <c r="A24" s="12" t="s">
        <v>292</v>
      </c>
      <c r="B24" s="44" t="s">
        <v>293</v>
      </c>
      <c r="C24" s="12" t="s">
        <v>81</v>
      </c>
      <c r="D24" s="111">
        <v>0.1</v>
      </c>
      <c r="E24" s="220" t="s">
        <v>132</v>
      </c>
      <c r="F24" s="221"/>
      <c r="G24" s="48">
        <f>(B6*D24*24*60)/1000/1000</f>
        <v>0.1152</v>
      </c>
      <c r="H24" s="23" t="s">
        <v>64</v>
      </c>
    </row>
    <row r="25" spans="1:10" ht="42.75" thickBot="1" x14ac:dyDescent="0.3">
      <c r="A25" s="12" t="s">
        <v>289</v>
      </c>
      <c r="B25" s="44" t="s">
        <v>290</v>
      </c>
      <c r="C25" s="12" t="s">
        <v>131</v>
      </c>
      <c r="D25" s="111">
        <v>1</v>
      </c>
      <c r="E25" s="220" t="s">
        <v>291</v>
      </c>
      <c r="F25" s="221"/>
      <c r="G25" s="48">
        <f>(B6*D25*24*60)/1000/1000</f>
        <v>1.1519999999999999</v>
      </c>
      <c r="H25" s="23" t="s">
        <v>116</v>
      </c>
    </row>
  </sheetData>
  <sheetProtection selectLockedCells="1"/>
  <mergeCells count="20">
    <mergeCell ref="E25:F25"/>
    <mergeCell ref="I1:K1"/>
    <mergeCell ref="B3:K3"/>
    <mergeCell ref="B4:K4"/>
    <mergeCell ref="G5:H5"/>
    <mergeCell ref="E21:F21"/>
    <mergeCell ref="A8:J8"/>
    <mergeCell ref="A9:D9"/>
    <mergeCell ref="E9:J9"/>
    <mergeCell ref="E10:F10"/>
    <mergeCell ref="G10:H10"/>
    <mergeCell ref="A18:H18"/>
    <mergeCell ref="A19:C19"/>
    <mergeCell ref="D19:H19"/>
    <mergeCell ref="E20:F20"/>
    <mergeCell ref="G20:H20"/>
    <mergeCell ref="E24:F24"/>
    <mergeCell ref="E22:F22"/>
    <mergeCell ref="A1:G1"/>
    <mergeCell ref="E23:F2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  <pageSetUpPr fitToPage="1"/>
  </sheetPr>
  <dimension ref="A1:O54"/>
  <sheetViews>
    <sheetView topLeftCell="A4" workbookViewId="0">
      <selection activeCell="F14" sqref="F14"/>
    </sheetView>
  </sheetViews>
  <sheetFormatPr baseColWidth="10" defaultRowHeight="15" x14ac:dyDescent="0.25"/>
  <cols>
    <col min="1" max="1" width="29" customWidth="1"/>
    <col min="2" max="2" width="17.5703125" customWidth="1"/>
    <col min="3" max="3" width="18.28515625" customWidth="1"/>
    <col min="5" max="5" width="16.5703125" customWidth="1"/>
    <col min="7" max="7" width="13.5703125" customWidth="1"/>
    <col min="8" max="8" width="8.42578125" bestFit="1" customWidth="1"/>
    <col min="9" max="9" width="11.42578125" customWidth="1"/>
    <col min="10" max="10" width="14.42578125" customWidth="1"/>
    <col min="11" max="11" width="11.42578125" customWidth="1"/>
    <col min="15" max="15" width="0" hidden="1" customWidth="1"/>
  </cols>
  <sheetData>
    <row r="1" spans="1:15" ht="24" thickBot="1" x14ac:dyDescent="0.4">
      <c r="A1" s="248" t="s">
        <v>0</v>
      </c>
      <c r="B1" s="249"/>
      <c r="C1" s="249"/>
      <c r="D1" s="249"/>
      <c r="E1" s="249"/>
      <c r="F1" s="249"/>
      <c r="G1" s="423"/>
      <c r="H1" s="115" t="s">
        <v>1</v>
      </c>
      <c r="I1" s="424">
        <f ca="1">+TODAY()</f>
        <v>46060</v>
      </c>
      <c r="J1" s="425"/>
      <c r="K1" s="426"/>
    </row>
    <row r="2" spans="1:15" ht="15.75" thickBot="1" x14ac:dyDescent="0.3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</row>
    <row r="3" spans="1:15" ht="21.75" thickBot="1" x14ac:dyDescent="0.3">
      <c r="A3" s="126" t="s">
        <v>2</v>
      </c>
      <c r="B3" s="399">
        <f>Medicamentos!B3</f>
        <v>0</v>
      </c>
      <c r="C3" s="400"/>
      <c r="D3" s="400"/>
      <c r="E3" s="400"/>
      <c r="F3" s="400"/>
      <c r="G3" s="400"/>
      <c r="H3" s="400"/>
      <c r="I3" s="400"/>
      <c r="J3" s="400"/>
      <c r="K3" s="401"/>
    </row>
    <row r="4" spans="1:15" ht="21.75" thickBot="1" x14ac:dyDescent="0.3">
      <c r="A4" s="118" t="s">
        <v>3</v>
      </c>
      <c r="B4" s="216">
        <f>Medicamentos!B4</f>
        <v>0</v>
      </c>
      <c r="C4" s="427"/>
      <c r="D4" s="427"/>
      <c r="E4" s="427"/>
      <c r="F4" s="427"/>
      <c r="G4" s="427"/>
      <c r="H4" s="427"/>
      <c r="I4" s="427"/>
      <c r="J4" s="427"/>
      <c r="K4" s="217"/>
    </row>
    <row r="5" spans="1:15" ht="39.75" customHeight="1" thickBot="1" x14ac:dyDescent="0.3">
      <c r="A5" s="205" t="s">
        <v>279</v>
      </c>
      <c r="B5" s="119">
        <f>Medicamentos!B5</f>
        <v>0</v>
      </c>
      <c r="C5" s="118" t="s">
        <v>6</v>
      </c>
      <c r="D5" s="120">
        <f ca="1">Medicamentos!D5</f>
        <v>46060</v>
      </c>
      <c r="E5" s="205" t="s">
        <v>280</v>
      </c>
      <c r="F5" s="118">
        <f>Medicamentos!F5</f>
        <v>0</v>
      </c>
      <c r="G5" s="259" t="s">
        <v>10</v>
      </c>
      <c r="H5" s="260"/>
      <c r="I5" s="125">
        <f ca="1">Medicamentos!I5</f>
        <v>6580</v>
      </c>
      <c r="J5" s="121" t="str">
        <f>Medicamentos!J5</f>
        <v>+</v>
      </c>
      <c r="K5" s="122">
        <f ca="1">Medicamentos!K5</f>
        <v>0</v>
      </c>
    </row>
    <row r="6" spans="1:15" ht="21.75" thickBot="1" x14ac:dyDescent="0.3">
      <c r="A6" s="118" t="s">
        <v>5</v>
      </c>
      <c r="B6" s="123">
        <f>Medicamentos!B6</f>
        <v>5000</v>
      </c>
      <c r="C6" s="118" t="s">
        <v>7</v>
      </c>
      <c r="D6" s="118">
        <f>Medicamentos!D6</f>
        <v>0</v>
      </c>
      <c r="E6" s="205" t="s">
        <v>281</v>
      </c>
      <c r="F6" s="124">
        <f>Medicamentos!F6</f>
        <v>0.3</v>
      </c>
      <c r="G6" s="216" t="s">
        <v>154</v>
      </c>
      <c r="H6" s="217"/>
      <c r="I6" s="118">
        <f>Medicamentos!I6</f>
        <v>0</v>
      </c>
      <c r="J6" s="116"/>
      <c r="K6" s="116"/>
      <c r="O6">
        <v>5000</v>
      </c>
    </row>
    <row r="7" spans="1:15" x14ac:dyDescent="0.25">
      <c r="O7">
        <v>10000</v>
      </c>
    </row>
    <row r="8" spans="1:15" ht="15.75" thickBot="1" x14ac:dyDescent="0.3"/>
    <row r="9" spans="1:15" ht="21.75" thickBot="1" x14ac:dyDescent="0.4">
      <c r="A9" s="428" t="s">
        <v>257</v>
      </c>
      <c r="B9" s="429"/>
      <c r="C9" s="429"/>
      <c r="D9" s="429"/>
      <c r="E9" s="429"/>
      <c r="F9" s="429"/>
      <c r="G9" s="429"/>
      <c r="H9" s="429"/>
      <c r="I9" s="429"/>
      <c r="J9" s="429"/>
      <c r="K9" s="430"/>
    </row>
    <row r="10" spans="1:15" s="114" customFormat="1" ht="39.75" customHeight="1" thickBot="1" x14ac:dyDescent="0.3">
      <c r="A10" s="431" t="s">
        <v>13</v>
      </c>
      <c r="B10" s="432"/>
      <c r="C10" s="432"/>
      <c r="D10" s="433"/>
      <c r="E10" s="436" t="s">
        <v>62</v>
      </c>
      <c r="F10" s="437"/>
      <c r="G10" s="437"/>
      <c r="H10" s="438"/>
      <c r="I10" s="434" t="s">
        <v>260</v>
      </c>
      <c r="J10" s="475"/>
      <c r="K10" s="476" t="s">
        <v>285</v>
      </c>
    </row>
    <row r="11" spans="1:15" ht="53.25" customHeight="1" thickBot="1" x14ac:dyDescent="0.3">
      <c r="A11" s="209" t="s">
        <v>14</v>
      </c>
      <c r="B11" s="210" t="s">
        <v>282</v>
      </c>
      <c r="C11" s="210" t="s">
        <v>43</v>
      </c>
      <c r="D11" s="210" t="s">
        <v>283</v>
      </c>
      <c r="E11" s="431" t="s">
        <v>63</v>
      </c>
      <c r="F11" s="433"/>
      <c r="G11" s="434" t="s">
        <v>258</v>
      </c>
      <c r="H11" s="435"/>
      <c r="I11" s="210" t="s">
        <v>278</v>
      </c>
      <c r="J11" s="212" t="s">
        <v>259</v>
      </c>
      <c r="K11" s="477"/>
      <c r="O11">
        <v>400</v>
      </c>
    </row>
    <row r="12" spans="1:15" ht="19.5" customHeight="1" x14ac:dyDescent="0.25">
      <c r="A12" s="468" t="s">
        <v>257</v>
      </c>
      <c r="B12" s="468">
        <v>10000</v>
      </c>
      <c r="C12" s="468" t="s">
        <v>44</v>
      </c>
      <c r="D12" s="468">
        <v>400</v>
      </c>
      <c r="E12" s="481">
        <f>(B6*D12)/1000</f>
        <v>2000</v>
      </c>
      <c r="F12" s="479" t="s">
        <v>64</v>
      </c>
      <c r="G12" s="481">
        <f>(E12*100)/B12</f>
        <v>20</v>
      </c>
      <c r="H12" s="479" t="s">
        <v>67</v>
      </c>
      <c r="I12" s="483">
        <f>+IF(AND(B12=5000,OR(D12=400,D12=500)),0.015*B6*60/1000,IF(AND(B12=5000,D12=1000),0.03*B6*60/1000,IF(AND(B12=10000,OR(D12=400,D12=500)),0.007*B6*60/1000,IF(AND(B12=10000,D12=1000),0.01*B6*60/1000,"ERROR"))))</f>
        <v>2.1</v>
      </c>
      <c r="J12" s="483">
        <f>+IF(AND(B12=5000,OR(D12=400,D12=500)),0.04*B6*60/1000,IF(AND(B12=5000,D12=1000),0.06*B6*60/1000,IF(AND(B12=10000,OR(D12=400,D12=500)),0.02*B6*60/1000,IF(AND(B12=10000,D12=1000),0.03*B6*60/1000,"ERROR"))))</f>
        <v>6</v>
      </c>
      <c r="K12" s="468"/>
      <c r="O12">
        <v>500</v>
      </c>
    </row>
    <row r="13" spans="1:15" s="114" customFormat="1" ht="18.75" customHeight="1" thickBot="1" x14ac:dyDescent="0.3">
      <c r="A13" s="469"/>
      <c r="B13" s="469"/>
      <c r="C13" s="469"/>
      <c r="D13" s="469"/>
      <c r="E13" s="482"/>
      <c r="F13" s="480"/>
      <c r="G13" s="482"/>
      <c r="H13" s="480"/>
      <c r="I13" s="484"/>
      <c r="J13" s="484"/>
      <c r="K13" s="469"/>
      <c r="O13" s="114">
        <v>1000</v>
      </c>
    </row>
    <row r="14" spans="1:15" ht="15.75" thickBot="1" x14ac:dyDescent="0.3"/>
    <row r="15" spans="1:15" ht="21.75" thickBot="1" x14ac:dyDescent="0.4">
      <c r="A15" s="451" t="s">
        <v>261</v>
      </c>
      <c r="B15" s="452"/>
      <c r="C15" s="452"/>
      <c r="D15" s="452"/>
      <c r="E15" s="452"/>
      <c r="F15" s="452"/>
      <c r="G15" s="453"/>
    </row>
    <row r="16" spans="1:15" ht="19.5" thickBot="1" x14ac:dyDescent="0.35">
      <c r="A16" s="208" t="s">
        <v>262</v>
      </c>
      <c r="B16" s="208" t="s">
        <v>263</v>
      </c>
      <c r="C16" s="208" t="s">
        <v>264</v>
      </c>
      <c r="D16" s="208" t="s">
        <v>265</v>
      </c>
      <c r="E16" s="208" t="s">
        <v>266</v>
      </c>
      <c r="F16" s="208" t="s">
        <v>267</v>
      </c>
      <c r="G16" s="208" t="s">
        <v>268</v>
      </c>
    </row>
    <row r="17" spans="1:7" s="114" customFormat="1" x14ac:dyDescent="0.25">
      <c r="A17" s="462">
        <v>0</v>
      </c>
      <c r="B17" s="464"/>
      <c r="C17" s="464"/>
      <c r="D17" s="464"/>
      <c r="E17" s="466"/>
      <c r="F17" s="466"/>
      <c r="G17" s="466"/>
    </row>
    <row r="18" spans="1:7" s="114" customFormat="1" ht="15.75" thickBot="1" x14ac:dyDescent="0.3">
      <c r="A18" s="463"/>
      <c r="B18" s="465"/>
      <c r="C18" s="465"/>
      <c r="D18" s="465"/>
      <c r="E18" s="467"/>
      <c r="F18" s="467"/>
      <c r="G18" s="467"/>
    </row>
    <row r="19" spans="1:7" x14ac:dyDescent="0.25">
      <c r="A19" s="468">
        <v>0.5</v>
      </c>
      <c r="B19" s="470"/>
      <c r="C19" s="470"/>
      <c r="D19" s="470"/>
      <c r="E19" s="470"/>
      <c r="F19" s="470"/>
      <c r="G19" s="470"/>
    </row>
    <row r="20" spans="1:7" s="114" customFormat="1" ht="15.75" thickBot="1" x14ac:dyDescent="0.3">
      <c r="A20" s="469"/>
      <c r="B20" s="471"/>
      <c r="C20" s="471"/>
      <c r="D20" s="471"/>
      <c r="E20" s="471"/>
      <c r="F20" s="471"/>
      <c r="G20" s="471"/>
    </row>
    <row r="21" spans="1:7" x14ac:dyDescent="0.25">
      <c r="A21" s="468">
        <v>1</v>
      </c>
      <c r="B21" s="470"/>
      <c r="C21" s="470"/>
      <c r="D21" s="470"/>
      <c r="E21" s="470"/>
      <c r="F21" s="470"/>
      <c r="G21" s="470"/>
    </row>
    <row r="22" spans="1:7" s="114" customFormat="1" ht="15.75" thickBot="1" x14ac:dyDescent="0.3">
      <c r="A22" s="469"/>
      <c r="B22" s="471"/>
      <c r="C22" s="471"/>
      <c r="D22" s="471"/>
      <c r="E22" s="471"/>
      <c r="F22" s="471"/>
      <c r="G22" s="471"/>
    </row>
    <row r="23" spans="1:7" s="114" customFormat="1" ht="19.5" thickBot="1" x14ac:dyDescent="0.3">
      <c r="A23" s="472" t="s">
        <v>284</v>
      </c>
      <c r="B23" s="473"/>
      <c r="C23" s="473"/>
      <c r="D23" s="473"/>
      <c r="E23" s="473"/>
      <c r="F23" s="473"/>
      <c r="G23" s="474"/>
    </row>
    <row r="24" spans="1:7" x14ac:dyDescent="0.25">
      <c r="A24" s="468">
        <v>2</v>
      </c>
      <c r="B24" s="470"/>
      <c r="C24" s="470"/>
      <c r="D24" s="470"/>
      <c r="E24" s="470"/>
      <c r="F24" s="470"/>
      <c r="G24" s="470"/>
    </row>
    <row r="25" spans="1:7" s="114" customFormat="1" ht="15.75" thickBot="1" x14ac:dyDescent="0.3">
      <c r="A25" s="469"/>
      <c r="B25" s="471"/>
      <c r="C25" s="471"/>
      <c r="D25" s="471"/>
      <c r="E25" s="471"/>
      <c r="F25" s="471"/>
      <c r="G25" s="471"/>
    </row>
    <row r="26" spans="1:7" x14ac:dyDescent="0.25">
      <c r="A26" s="468">
        <v>3</v>
      </c>
      <c r="B26" s="470"/>
      <c r="C26" s="470"/>
      <c r="D26" s="470"/>
      <c r="E26" s="470"/>
      <c r="F26" s="470"/>
      <c r="G26" s="470"/>
    </row>
    <row r="27" spans="1:7" s="114" customFormat="1" ht="15.75" thickBot="1" x14ac:dyDescent="0.3">
      <c r="A27" s="469"/>
      <c r="B27" s="471"/>
      <c r="C27" s="471"/>
      <c r="D27" s="471"/>
      <c r="E27" s="471"/>
      <c r="F27" s="471"/>
      <c r="G27" s="471"/>
    </row>
    <row r="28" spans="1:7" x14ac:dyDescent="0.25">
      <c r="A28" s="468">
        <v>4</v>
      </c>
      <c r="B28" s="470"/>
      <c r="C28" s="470"/>
      <c r="D28" s="470"/>
      <c r="E28" s="470"/>
      <c r="F28" s="470"/>
      <c r="G28" s="470"/>
    </row>
    <row r="29" spans="1:7" s="114" customFormat="1" ht="15.75" thickBot="1" x14ac:dyDescent="0.3">
      <c r="A29" s="469"/>
      <c r="B29" s="471"/>
      <c r="C29" s="471"/>
      <c r="D29" s="471"/>
      <c r="E29" s="471"/>
      <c r="F29" s="471"/>
      <c r="G29" s="471"/>
    </row>
    <row r="30" spans="1:7" x14ac:dyDescent="0.25">
      <c r="A30" s="468">
        <v>5</v>
      </c>
      <c r="B30" s="470"/>
      <c r="C30" s="470"/>
      <c r="D30" s="470"/>
      <c r="E30" s="470"/>
      <c r="F30" s="470"/>
      <c r="G30" s="470"/>
    </row>
    <row r="31" spans="1:7" s="114" customFormat="1" ht="15.75" thickBot="1" x14ac:dyDescent="0.3">
      <c r="A31" s="469"/>
      <c r="B31" s="471"/>
      <c r="C31" s="471"/>
      <c r="D31" s="471"/>
      <c r="E31" s="471"/>
      <c r="F31" s="471"/>
      <c r="G31" s="471"/>
    </row>
    <row r="32" spans="1:7" x14ac:dyDescent="0.25">
      <c r="A32" s="468">
        <v>6</v>
      </c>
      <c r="B32" s="470"/>
      <c r="C32" s="470"/>
      <c r="D32" s="470"/>
      <c r="E32" s="470"/>
      <c r="F32" s="470"/>
      <c r="G32" s="444"/>
    </row>
    <row r="33" spans="1:7" s="114" customFormat="1" ht="15.75" thickBot="1" x14ac:dyDescent="0.3">
      <c r="A33" s="469"/>
      <c r="B33" s="471"/>
      <c r="C33" s="471"/>
      <c r="D33" s="471"/>
      <c r="E33" s="471"/>
      <c r="F33" s="471"/>
      <c r="G33" s="450"/>
    </row>
    <row r="34" spans="1:7" ht="19.5" thickBot="1" x14ac:dyDescent="0.35">
      <c r="A34" s="454" t="s">
        <v>277</v>
      </c>
      <c r="B34" s="455"/>
      <c r="C34" s="455"/>
      <c r="D34" s="455"/>
      <c r="E34" s="455"/>
      <c r="F34" s="455"/>
      <c r="G34" s="456"/>
    </row>
    <row r="35" spans="1:7" s="114" customFormat="1" ht="18.75" x14ac:dyDescent="0.3">
      <c r="A35" s="215"/>
      <c r="B35" s="215"/>
      <c r="C35" s="215"/>
      <c r="D35" s="215"/>
      <c r="E35" s="215"/>
      <c r="F35" s="215"/>
      <c r="G35" s="215"/>
    </row>
    <row r="36" spans="1:7" ht="15.75" thickBot="1" x14ac:dyDescent="0.3"/>
    <row r="37" spans="1:7" ht="19.5" thickBot="1" x14ac:dyDescent="0.35">
      <c r="B37" s="457" t="s">
        <v>273</v>
      </c>
      <c r="C37" s="458"/>
      <c r="D37" s="459"/>
    </row>
    <row r="38" spans="1:7" ht="64.5" customHeight="1" thickBot="1" x14ac:dyDescent="0.35">
      <c r="B38" s="73" t="s">
        <v>274</v>
      </c>
      <c r="C38" s="206" t="s">
        <v>269</v>
      </c>
      <c r="D38" s="207" t="s">
        <v>270</v>
      </c>
    </row>
    <row r="39" spans="1:7" ht="38.25" thickBot="1" x14ac:dyDescent="0.35">
      <c r="B39" s="73" t="s">
        <v>271</v>
      </c>
      <c r="C39" s="460"/>
      <c r="D39" s="461"/>
    </row>
    <row r="40" spans="1:7" ht="19.5" thickBot="1" x14ac:dyDescent="0.35">
      <c r="B40" s="71" t="s">
        <v>272</v>
      </c>
      <c r="C40" s="460"/>
      <c r="D40" s="461"/>
    </row>
    <row r="41" spans="1:7" s="114" customFormat="1" ht="18.75" x14ac:dyDescent="0.3">
      <c r="B41" s="213"/>
      <c r="C41" s="214"/>
      <c r="D41" s="214"/>
    </row>
    <row r="42" spans="1:7" ht="15.75" thickBot="1" x14ac:dyDescent="0.3"/>
    <row r="43" spans="1:7" ht="19.5" thickBot="1" x14ac:dyDescent="0.35">
      <c r="A43" s="439" t="s">
        <v>275</v>
      </c>
      <c r="B43" s="440"/>
      <c r="C43" s="440"/>
      <c r="D43" s="440"/>
      <c r="E43" s="440"/>
      <c r="F43" s="440"/>
      <c r="G43" s="441"/>
    </row>
    <row r="44" spans="1:7" x14ac:dyDescent="0.25">
      <c r="A44" s="442"/>
      <c r="B44" s="443"/>
      <c r="C44" s="443"/>
      <c r="D44" s="443"/>
      <c r="E44" s="443"/>
      <c r="F44" s="443"/>
      <c r="G44" s="444"/>
    </row>
    <row r="45" spans="1:7" x14ac:dyDescent="0.25">
      <c r="A45" s="445"/>
      <c r="B45" s="446"/>
      <c r="C45" s="446"/>
      <c r="D45" s="446"/>
      <c r="E45" s="446"/>
      <c r="F45" s="446"/>
      <c r="G45" s="447"/>
    </row>
    <row r="46" spans="1:7" x14ac:dyDescent="0.25">
      <c r="A46" s="445"/>
      <c r="B46" s="446"/>
      <c r="C46" s="446"/>
      <c r="D46" s="446"/>
      <c r="E46" s="446"/>
      <c r="F46" s="446"/>
      <c r="G46" s="447"/>
    </row>
    <row r="47" spans="1:7" x14ac:dyDescent="0.25">
      <c r="A47" s="445"/>
      <c r="B47" s="446"/>
      <c r="C47" s="446"/>
      <c r="D47" s="446"/>
      <c r="E47" s="446"/>
      <c r="F47" s="446"/>
      <c r="G47" s="447"/>
    </row>
    <row r="48" spans="1:7" ht="15.75" thickBot="1" x14ac:dyDescent="0.3">
      <c r="A48" s="448"/>
      <c r="B48" s="449"/>
      <c r="C48" s="449"/>
      <c r="D48" s="449"/>
      <c r="E48" s="449"/>
      <c r="F48" s="449"/>
      <c r="G48" s="450"/>
    </row>
    <row r="50" spans="1:6" x14ac:dyDescent="0.25">
      <c r="F50" s="51"/>
    </row>
    <row r="51" spans="1:6" s="114" customFormat="1" x14ac:dyDescent="0.25">
      <c r="F51" s="51"/>
    </row>
    <row r="52" spans="1:6" s="114" customFormat="1" x14ac:dyDescent="0.25">
      <c r="F52" s="51"/>
    </row>
    <row r="53" spans="1:6" ht="15.75" thickBot="1" x14ac:dyDescent="0.3">
      <c r="A53" s="204"/>
      <c r="B53" s="204"/>
      <c r="D53" s="204"/>
      <c r="E53" s="204"/>
      <c r="F53" s="204"/>
    </row>
    <row r="54" spans="1:6" ht="18.75" x14ac:dyDescent="0.3">
      <c r="A54" s="478" t="s">
        <v>276</v>
      </c>
      <c r="B54" s="478"/>
      <c r="C54" s="203"/>
      <c r="D54" s="203"/>
      <c r="E54" s="211" t="s">
        <v>286</v>
      </c>
    </row>
  </sheetData>
  <sheetProtection selectLockedCells="1"/>
  <mergeCells count="89">
    <mergeCell ref="K12:K13"/>
    <mergeCell ref="I10:J10"/>
    <mergeCell ref="K10:K11"/>
    <mergeCell ref="A54:B54"/>
    <mergeCell ref="F12:F13"/>
    <mergeCell ref="G12:G13"/>
    <mergeCell ref="H12:H13"/>
    <mergeCell ref="I12:I13"/>
    <mergeCell ref="J12:J13"/>
    <mergeCell ref="A12:A13"/>
    <mergeCell ref="B12:B13"/>
    <mergeCell ref="C12:C13"/>
    <mergeCell ref="D12:D13"/>
    <mergeCell ref="E12:E13"/>
    <mergeCell ref="F30:F31"/>
    <mergeCell ref="G30:G31"/>
    <mergeCell ref="F32:F33"/>
    <mergeCell ref="G32:G33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F26:F27"/>
    <mergeCell ref="G26:G27"/>
    <mergeCell ref="A28:A29"/>
    <mergeCell ref="B28:B29"/>
    <mergeCell ref="C28:C29"/>
    <mergeCell ref="D28:D29"/>
    <mergeCell ref="E28:E29"/>
    <mergeCell ref="F28:F29"/>
    <mergeCell ref="G28:G29"/>
    <mergeCell ref="A26:A27"/>
    <mergeCell ref="B26:B27"/>
    <mergeCell ref="C26:C27"/>
    <mergeCell ref="D26:D27"/>
    <mergeCell ref="E26:E27"/>
    <mergeCell ref="F21:F22"/>
    <mergeCell ref="G21:G22"/>
    <mergeCell ref="A23:G23"/>
    <mergeCell ref="A24:A25"/>
    <mergeCell ref="B24:B25"/>
    <mergeCell ref="C24:C25"/>
    <mergeCell ref="D24:D25"/>
    <mergeCell ref="E24:E25"/>
    <mergeCell ref="F24:F25"/>
    <mergeCell ref="G24:G25"/>
    <mergeCell ref="A21:A22"/>
    <mergeCell ref="B21:B22"/>
    <mergeCell ref="C21:C22"/>
    <mergeCell ref="D21:D22"/>
    <mergeCell ref="E21:E22"/>
    <mergeCell ref="C19:C20"/>
    <mergeCell ref="D19:D20"/>
    <mergeCell ref="E19:E20"/>
    <mergeCell ref="F19:F20"/>
    <mergeCell ref="G19:G20"/>
    <mergeCell ref="A43:G43"/>
    <mergeCell ref="A44:G48"/>
    <mergeCell ref="A15:G15"/>
    <mergeCell ref="A34:G34"/>
    <mergeCell ref="B37:D37"/>
    <mergeCell ref="C39:D39"/>
    <mergeCell ref="C40:D40"/>
    <mergeCell ref="A17:A18"/>
    <mergeCell ref="B17:B18"/>
    <mergeCell ref="C17:C18"/>
    <mergeCell ref="D17:D18"/>
    <mergeCell ref="E17:E18"/>
    <mergeCell ref="F17:F18"/>
    <mergeCell ref="G17:G18"/>
    <mergeCell ref="A19:A20"/>
    <mergeCell ref="B19:B20"/>
    <mergeCell ref="G6:H6"/>
    <mergeCell ref="A9:K9"/>
    <mergeCell ref="A10:D10"/>
    <mergeCell ref="E11:F11"/>
    <mergeCell ref="G11:H11"/>
    <mergeCell ref="E10:H10"/>
    <mergeCell ref="A1:G1"/>
    <mergeCell ref="I1:K1"/>
    <mergeCell ref="B3:K3"/>
    <mergeCell ref="B4:K4"/>
    <mergeCell ref="G5:H5"/>
  </mergeCells>
  <dataValidations count="2">
    <dataValidation type="list" allowBlank="1" showInputMessage="1" showErrorMessage="1" sqref="B12">
      <formula1>$O$6:$O$7</formula1>
    </dataValidation>
    <dataValidation type="list" allowBlank="1" showInputMessage="1" showErrorMessage="1" sqref="D12">
      <formula1>$O$11:$O$14</formula1>
    </dataValidation>
  </dataValidations>
  <pageMargins left="0.7" right="0.7" top="0.75" bottom="0.75" header="0.3" footer="0.3"/>
  <pageSetup paperSize="9" scale="5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opLeftCell="A10" workbookViewId="0">
      <selection activeCell="H16" sqref="H16"/>
    </sheetView>
  </sheetViews>
  <sheetFormatPr baseColWidth="10" defaultRowHeight="15" x14ac:dyDescent="0.25"/>
  <cols>
    <col min="1" max="1" width="27" bestFit="1" customWidth="1"/>
    <col min="2" max="2" width="16.140625" bestFit="1" customWidth="1"/>
    <col min="3" max="3" width="14.5703125" bestFit="1" customWidth="1"/>
    <col min="4" max="4" width="9.42578125" bestFit="1" customWidth="1"/>
    <col min="5" max="5" width="31.28515625" bestFit="1" customWidth="1"/>
  </cols>
  <sheetData>
    <row r="1" spans="1:11" ht="24" thickBot="1" x14ac:dyDescent="0.4">
      <c r="A1" s="248" t="s">
        <v>0</v>
      </c>
      <c r="B1" s="249"/>
      <c r="C1" s="249"/>
      <c r="D1" s="249"/>
      <c r="E1" s="249"/>
      <c r="F1" s="249"/>
      <c r="G1" s="249"/>
      <c r="H1" s="2" t="s">
        <v>1</v>
      </c>
      <c r="I1" s="250">
        <f ca="1">+TODAY()</f>
        <v>46060</v>
      </c>
      <c r="J1" s="251"/>
      <c r="K1" s="252"/>
    </row>
    <row r="2" spans="1:11" ht="15.75" thickBot="1" x14ac:dyDescent="0.3"/>
    <row r="3" spans="1:11" ht="21.75" thickBot="1" x14ac:dyDescent="0.3">
      <c r="A3" s="29" t="s">
        <v>2</v>
      </c>
      <c r="B3" s="216">
        <f>Medicamentos!B3</f>
        <v>0</v>
      </c>
      <c r="C3" s="427"/>
      <c r="D3" s="427"/>
      <c r="E3" s="427"/>
      <c r="F3" s="427"/>
      <c r="G3" s="427"/>
      <c r="H3" s="427"/>
      <c r="I3" s="427"/>
      <c r="J3" s="427"/>
      <c r="K3" s="217"/>
    </row>
    <row r="4" spans="1:11" ht="21.75" thickBot="1" x14ac:dyDescent="0.3">
      <c r="A4" s="29" t="s">
        <v>3</v>
      </c>
      <c r="B4" s="485">
        <f>Medicamentos!B4</f>
        <v>0</v>
      </c>
      <c r="C4" s="421"/>
      <c r="D4" s="421"/>
      <c r="E4" s="421"/>
      <c r="F4" s="421"/>
      <c r="G4" s="421"/>
      <c r="H4" s="421"/>
      <c r="I4" s="421"/>
      <c r="J4" s="421"/>
      <c r="K4" s="422"/>
    </row>
    <row r="5" spans="1:11" ht="21.75" thickBot="1" x14ac:dyDescent="0.3">
      <c r="A5" s="29" t="s">
        <v>4</v>
      </c>
      <c r="B5" s="30">
        <f>Medicamentos!B5</f>
        <v>0</v>
      </c>
      <c r="C5" s="29" t="s">
        <v>6</v>
      </c>
      <c r="D5" s="31">
        <f ca="1">(I1-B5)</f>
        <v>46060</v>
      </c>
      <c r="E5" s="29" t="s">
        <v>9</v>
      </c>
      <c r="F5" s="29">
        <f>Medicamentos!F5</f>
        <v>0</v>
      </c>
      <c r="G5" s="259" t="s">
        <v>10</v>
      </c>
      <c r="H5" s="260"/>
      <c r="I5" s="32">
        <f ca="1">F5+(D5/7)</f>
        <v>6580</v>
      </c>
      <c r="J5" s="32" t="s">
        <v>11</v>
      </c>
      <c r="K5" s="33">
        <f ca="1">((F5+(D5/7))-(INT(I5)))*7</f>
        <v>0</v>
      </c>
    </row>
    <row r="6" spans="1:11" ht="21.75" thickBot="1" x14ac:dyDescent="0.3">
      <c r="A6" s="29" t="s">
        <v>5</v>
      </c>
      <c r="B6" s="34">
        <f>Medicamentos!B6</f>
        <v>5000</v>
      </c>
      <c r="C6" s="29" t="s">
        <v>7</v>
      </c>
      <c r="D6" s="29">
        <f>Medicamentos!D6</f>
        <v>0</v>
      </c>
      <c r="E6" s="29" t="s">
        <v>8</v>
      </c>
      <c r="F6" s="37">
        <f>(0.05*(B6/1000))+0.05</f>
        <v>0.3</v>
      </c>
      <c r="G6" s="3"/>
      <c r="H6" s="3"/>
      <c r="I6" s="3"/>
      <c r="J6" s="3"/>
      <c r="K6" s="3"/>
    </row>
    <row r="11" spans="1:11" ht="15.75" thickBot="1" x14ac:dyDescent="0.3"/>
    <row r="12" spans="1:11" ht="21" thickBot="1" x14ac:dyDescent="0.35">
      <c r="A12" s="53" t="s">
        <v>140</v>
      </c>
      <c r="B12" s="112">
        <f>IF(B6&gt;2000,3.5,IF(B6&lt;1000,2.5,3))</f>
        <v>3.5</v>
      </c>
      <c r="C12" s="54" t="s">
        <v>142</v>
      </c>
    </row>
    <row r="13" spans="1:11" ht="21" thickBot="1" x14ac:dyDescent="0.35">
      <c r="A13" s="53" t="s">
        <v>141</v>
      </c>
      <c r="B13" s="113">
        <f>(B6/1009)+6</f>
        <v>10.955401387512389</v>
      </c>
      <c r="C13" s="55" t="s">
        <v>143</v>
      </c>
    </row>
    <row r="16" spans="1:11" ht="20.25" x14ac:dyDescent="0.3">
      <c r="A16" s="56"/>
      <c r="B16" s="57" t="s">
        <v>144</v>
      </c>
      <c r="C16" s="57" t="s">
        <v>145</v>
      </c>
      <c r="D16" s="58"/>
    </row>
    <row r="17" spans="1:4" ht="34.5" thickBot="1" x14ac:dyDescent="0.35">
      <c r="A17" s="88" t="s">
        <v>146</v>
      </c>
      <c r="B17" s="59">
        <f>0.5*B6/1000</f>
        <v>2.5</v>
      </c>
      <c r="C17" s="60">
        <f>2*B6/1000</f>
        <v>10</v>
      </c>
      <c r="D17" s="61" t="s">
        <v>147</v>
      </c>
    </row>
  </sheetData>
  <sheetProtection sheet="1" objects="1" scenarios="1" selectLockedCells="1"/>
  <mergeCells count="5">
    <mergeCell ref="A1:G1"/>
    <mergeCell ref="I1:K1"/>
    <mergeCell ref="B3:K3"/>
    <mergeCell ref="B4:K4"/>
    <mergeCell ref="G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>
      <selection activeCell="K9" sqref="K9"/>
    </sheetView>
  </sheetViews>
  <sheetFormatPr baseColWidth="10" defaultRowHeight="15" x14ac:dyDescent="0.25"/>
  <cols>
    <col min="1" max="1" width="22.7109375" bestFit="1" customWidth="1"/>
    <col min="2" max="2" width="13.28515625" customWidth="1"/>
    <col min="3" max="3" width="15.28515625" bestFit="1" customWidth="1"/>
    <col min="7" max="7" width="19" customWidth="1"/>
    <col min="9" max="9" width="15.28515625" bestFit="1" customWidth="1"/>
  </cols>
  <sheetData>
    <row r="1" spans="1:11" ht="15.75" thickBot="1" x14ac:dyDescent="0.3"/>
    <row r="2" spans="1:11" ht="21.75" thickBot="1" x14ac:dyDescent="0.4">
      <c r="B2" s="522" t="s">
        <v>134</v>
      </c>
      <c r="C2" s="523"/>
      <c r="D2" s="523"/>
      <c r="E2" s="523"/>
      <c r="F2" s="523"/>
      <c r="G2" s="523"/>
      <c r="H2" s="524"/>
      <c r="I2" s="52"/>
      <c r="J2" s="52"/>
    </row>
    <row r="3" spans="1:11" ht="15.75" thickBot="1" x14ac:dyDescent="0.3"/>
    <row r="4" spans="1:11" ht="19.5" thickBot="1" x14ac:dyDescent="0.3">
      <c r="A4" s="63" t="s">
        <v>2</v>
      </c>
      <c r="B4" s="525">
        <f>Medicamentos!B3</f>
        <v>0</v>
      </c>
      <c r="C4" s="526"/>
      <c r="D4" s="526"/>
      <c r="E4" s="526"/>
      <c r="F4" s="526"/>
      <c r="G4" s="526"/>
      <c r="H4" s="527"/>
      <c r="I4" s="50"/>
      <c r="J4" s="50"/>
      <c r="K4" s="50"/>
    </row>
    <row r="5" spans="1:11" ht="19.5" thickBot="1" x14ac:dyDescent="0.35">
      <c r="A5" s="64" t="s">
        <v>5</v>
      </c>
      <c r="B5" s="528">
        <f>Medicamentos!B6</f>
        <v>5000</v>
      </c>
      <c r="C5" s="529"/>
      <c r="D5" s="530"/>
      <c r="F5" s="64" t="s">
        <v>1</v>
      </c>
      <c r="G5" s="531">
        <f ca="1">Medicamentos!I1</f>
        <v>46060</v>
      </c>
      <c r="H5" s="530"/>
    </row>
    <row r="6" spans="1:11" ht="15.75" thickBot="1" x14ac:dyDescent="0.3"/>
    <row r="7" spans="1:11" ht="19.5" thickBot="1" x14ac:dyDescent="0.3">
      <c r="A7" s="493" t="s">
        <v>12</v>
      </c>
      <c r="B7" s="494"/>
      <c r="C7" s="494"/>
      <c r="D7" s="494"/>
      <c r="E7" s="494"/>
      <c r="F7" s="494"/>
      <c r="G7" s="494"/>
      <c r="H7" s="495"/>
    </row>
    <row r="8" spans="1:11" ht="30.75" customHeight="1" thickBot="1" x14ac:dyDescent="0.35">
      <c r="A8" s="66" t="s">
        <v>135</v>
      </c>
      <c r="B8" s="534" t="s">
        <v>148</v>
      </c>
      <c r="C8" s="535"/>
      <c r="D8" s="536" t="s">
        <v>136</v>
      </c>
      <c r="E8" s="537"/>
      <c r="F8" s="65" t="s">
        <v>68</v>
      </c>
      <c r="G8" s="532" t="s">
        <v>69</v>
      </c>
      <c r="H8" s="533"/>
    </row>
    <row r="9" spans="1:11" ht="21.75" customHeight="1" thickBot="1" x14ac:dyDescent="0.3">
      <c r="A9" s="74" t="s">
        <v>15</v>
      </c>
      <c r="B9" s="503">
        <f>Medicamentos!E11</f>
        <v>0.5</v>
      </c>
      <c r="C9" s="504"/>
      <c r="D9" s="503">
        <f>Medicamentos!G11</f>
        <v>0.16666666666666666</v>
      </c>
      <c r="E9" s="504"/>
      <c r="F9" s="75" t="s">
        <v>70</v>
      </c>
      <c r="G9" s="486" t="s">
        <v>139</v>
      </c>
      <c r="H9" s="487"/>
    </row>
    <row r="10" spans="1:11" ht="30.75" customHeight="1" thickBot="1" x14ac:dyDescent="0.3">
      <c r="A10" s="76" t="s">
        <v>16</v>
      </c>
      <c r="B10" s="503">
        <f>Medicamentos!E12</f>
        <v>0.15</v>
      </c>
      <c r="C10" s="504"/>
      <c r="D10" s="503">
        <f>Medicamentos!G12</f>
        <v>1.4999999999999998</v>
      </c>
      <c r="E10" s="504"/>
      <c r="F10" s="71" t="s">
        <v>81</v>
      </c>
      <c r="G10" s="486" t="s">
        <v>72</v>
      </c>
      <c r="H10" s="487"/>
    </row>
    <row r="11" spans="1:11" ht="19.5" thickBot="1" x14ac:dyDescent="0.3">
      <c r="A11" s="468" t="s">
        <v>17</v>
      </c>
      <c r="B11" s="80">
        <f>Medicamentos!E14</f>
        <v>100</v>
      </c>
      <c r="C11" s="81" t="s">
        <v>151</v>
      </c>
      <c r="D11" s="503">
        <f>Medicamentos!G13</f>
        <v>2.5</v>
      </c>
      <c r="E11" s="504"/>
      <c r="F11" s="512" t="s">
        <v>81</v>
      </c>
      <c r="G11" s="516" t="s">
        <v>133</v>
      </c>
      <c r="H11" s="517"/>
    </row>
    <row r="12" spans="1:11" ht="15.75" customHeight="1" thickBot="1" x14ac:dyDescent="0.3">
      <c r="A12" s="469"/>
      <c r="B12" s="80">
        <f>Medicamentos!E15</f>
        <v>15</v>
      </c>
      <c r="C12" s="81" t="s">
        <v>152</v>
      </c>
      <c r="D12" s="506">
        <f>Medicamentos!G15</f>
        <v>3</v>
      </c>
      <c r="E12" s="507"/>
      <c r="F12" s="513"/>
      <c r="G12" s="518"/>
      <c r="H12" s="519"/>
    </row>
    <row r="13" spans="1:11" ht="15.75" customHeight="1" thickBot="1" x14ac:dyDescent="0.3">
      <c r="A13" s="512" t="s">
        <v>18</v>
      </c>
      <c r="B13" s="80">
        <f>Medicamentos!E16</f>
        <v>100</v>
      </c>
      <c r="C13" s="81" t="s">
        <v>151</v>
      </c>
      <c r="D13" s="508">
        <f>Medicamentos!G16</f>
        <v>10</v>
      </c>
      <c r="E13" s="509"/>
      <c r="F13" s="512" t="s">
        <v>81</v>
      </c>
      <c r="G13" s="516" t="s">
        <v>73</v>
      </c>
      <c r="H13" s="517"/>
    </row>
    <row r="14" spans="1:11" ht="15.75" customHeight="1" thickBot="1" x14ac:dyDescent="0.3">
      <c r="A14" s="513"/>
      <c r="B14" s="80">
        <f>Medicamentos!E17</f>
        <v>15</v>
      </c>
      <c r="C14" s="81" t="s">
        <v>152</v>
      </c>
      <c r="D14" s="503">
        <f>Medicamentos!G17</f>
        <v>1.5</v>
      </c>
      <c r="E14" s="504"/>
      <c r="F14" s="513"/>
      <c r="G14" s="518"/>
      <c r="H14" s="519"/>
    </row>
    <row r="15" spans="1:11" ht="38.25" thickBot="1" x14ac:dyDescent="0.35">
      <c r="A15" s="77" t="s">
        <v>19</v>
      </c>
      <c r="B15" s="85">
        <f>Medicamentos!E18</f>
        <v>5</v>
      </c>
      <c r="C15" s="86" t="s">
        <v>155</v>
      </c>
      <c r="D15" s="488">
        <f>Medicamentos!G18</f>
        <v>0.5</v>
      </c>
      <c r="E15" s="505"/>
      <c r="F15" s="78" t="s">
        <v>82</v>
      </c>
      <c r="G15" s="510" t="s">
        <v>73</v>
      </c>
      <c r="H15" s="511"/>
    </row>
    <row r="16" spans="1:11" ht="38.25" thickBot="1" x14ac:dyDescent="0.35">
      <c r="A16" s="49" t="s">
        <v>20</v>
      </c>
      <c r="B16" s="84">
        <f>Medicamentos!E19</f>
        <v>25</v>
      </c>
      <c r="C16" s="86" t="s">
        <v>65</v>
      </c>
      <c r="D16" s="488">
        <f>Medicamentos!G19</f>
        <v>0.25</v>
      </c>
      <c r="E16" s="505"/>
      <c r="F16" s="79" t="s">
        <v>82</v>
      </c>
      <c r="G16" s="510" t="s">
        <v>138</v>
      </c>
      <c r="H16" s="511"/>
    </row>
    <row r="17" spans="1:11" ht="19.5" thickBot="1" x14ac:dyDescent="0.35">
      <c r="A17" s="49" t="s">
        <v>21</v>
      </c>
      <c r="B17" s="503">
        <f>Medicamentos!E20</f>
        <v>200</v>
      </c>
      <c r="C17" s="504"/>
      <c r="D17" s="488">
        <f>Medicamentos!G20</f>
        <v>2</v>
      </c>
      <c r="E17" s="505"/>
      <c r="F17" s="79" t="s">
        <v>75</v>
      </c>
      <c r="G17" s="510" t="s">
        <v>76</v>
      </c>
      <c r="H17" s="511"/>
    </row>
    <row r="18" spans="1:11" ht="19.5" thickBot="1" x14ac:dyDescent="0.35">
      <c r="A18" s="512" t="s">
        <v>22</v>
      </c>
      <c r="B18" s="83">
        <f>Medicamentos!E21</f>
        <v>200</v>
      </c>
      <c r="C18" s="81" t="s">
        <v>151</v>
      </c>
      <c r="D18" s="488">
        <f>Medicamentos!G21</f>
        <v>40</v>
      </c>
      <c r="E18" s="505"/>
      <c r="F18" s="514" t="s">
        <v>82</v>
      </c>
      <c r="G18" s="516" t="s">
        <v>77</v>
      </c>
      <c r="H18" s="517"/>
    </row>
    <row r="19" spans="1:11" ht="19.5" thickBot="1" x14ac:dyDescent="0.35">
      <c r="A19" s="513"/>
      <c r="B19" s="80">
        <f>Medicamentos!E22</f>
        <v>200</v>
      </c>
      <c r="C19" s="81" t="s">
        <v>152</v>
      </c>
      <c r="D19" s="520">
        <f>Medicamentos!G22</f>
        <v>40</v>
      </c>
      <c r="E19" s="521"/>
      <c r="F19" s="515"/>
      <c r="G19" s="518"/>
      <c r="H19" s="519"/>
    </row>
    <row r="20" spans="1:11" ht="15.75" customHeight="1" thickBot="1" x14ac:dyDescent="0.35">
      <c r="A20" s="77" t="s">
        <v>23</v>
      </c>
      <c r="B20" s="503">
        <f>Medicamentos!E23</f>
        <v>0.25</v>
      </c>
      <c r="C20" s="504"/>
      <c r="D20" s="488">
        <f>Medicamentos!G23</f>
        <v>0.125</v>
      </c>
      <c r="E20" s="505"/>
      <c r="F20" s="78" t="s">
        <v>70</v>
      </c>
      <c r="G20" s="510" t="s">
        <v>77</v>
      </c>
      <c r="H20" s="511"/>
    </row>
    <row r="21" spans="1:11" ht="19.5" thickBot="1" x14ac:dyDescent="0.35">
      <c r="A21" s="49" t="s">
        <v>24</v>
      </c>
      <c r="B21" s="503">
        <f>Medicamentos!E24</f>
        <v>0.5</v>
      </c>
      <c r="C21" s="504"/>
      <c r="D21" s="488">
        <f>Medicamentos!G24</f>
        <v>0.5</v>
      </c>
      <c r="E21" s="505"/>
      <c r="F21" s="79" t="s">
        <v>81</v>
      </c>
      <c r="G21" s="510" t="s">
        <v>72</v>
      </c>
      <c r="H21" s="511"/>
    </row>
    <row r="22" spans="1:11" ht="30.75" customHeight="1" thickBot="1" x14ac:dyDescent="0.35">
      <c r="A22" s="76" t="s">
        <v>25</v>
      </c>
      <c r="B22" s="503">
        <f>Medicamentos!E25</f>
        <v>1</v>
      </c>
      <c r="C22" s="504"/>
      <c r="D22" s="488">
        <f>Medicamentos!G25</f>
        <v>1</v>
      </c>
      <c r="E22" s="505"/>
      <c r="F22" s="74" t="s">
        <v>82</v>
      </c>
      <c r="G22" s="510" t="s">
        <v>73</v>
      </c>
      <c r="H22" s="511"/>
    </row>
    <row r="23" spans="1:11" ht="38.25" thickBot="1" x14ac:dyDescent="0.35">
      <c r="A23" s="49" t="s">
        <v>26</v>
      </c>
      <c r="B23" s="503">
        <f>Medicamentos!E26</f>
        <v>0.5</v>
      </c>
      <c r="C23" s="504"/>
      <c r="D23" s="488">
        <f>Medicamentos!G26</f>
        <v>5</v>
      </c>
      <c r="E23" s="505"/>
      <c r="F23" s="79" t="s">
        <v>83</v>
      </c>
      <c r="G23" s="510" t="s">
        <v>73</v>
      </c>
      <c r="H23" s="511"/>
    </row>
    <row r="24" spans="1:11" ht="19.5" thickBot="1" x14ac:dyDescent="0.35">
      <c r="A24" s="49" t="s">
        <v>27</v>
      </c>
      <c r="B24" s="503">
        <f>Medicamentos!E27</f>
        <v>0.5</v>
      </c>
      <c r="C24" s="504"/>
      <c r="D24" s="488">
        <f>Medicamentos!G27</f>
        <v>1.25</v>
      </c>
      <c r="E24" s="505"/>
      <c r="F24" s="79" t="s">
        <v>70</v>
      </c>
      <c r="G24" s="510" t="s">
        <v>84</v>
      </c>
      <c r="H24" s="511"/>
    </row>
    <row r="25" spans="1:11" ht="19.5" thickBot="1" x14ac:dyDescent="0.35">
      <c r="A25" s="49" t="s">
        <v>28</v>
      </c>
      <c r="B25" s="503">
        <f>Medicamentos!E28</f>
        <v>5</v>
      </c>
      <c r="C25" s="504"/>
      <c r="D25" s="488">
        <f>Medicamentos!G28</f>
        <v>2.5</v>
      </c>
      <c r="E25" s="505"/>
      <c r="F25" s="79" t="s">
        <v>85</v>
      </c>
      <c r="G25" s="510" t="s">
        <v>79</v>
      </c>
      <c r="H25" s="511"/>
      <c r="K25" s="51"/>
    </row>
    <row r="26" spans="1:11" ht="38.25" thickBot="1" x14ac:dyDescent="0.35">
      <c r="A26" s="79" t="s">
        <v>29</v>
      </c>
      <c r="B26" s="503">
        <f>Medicamentos!E29</f>
        <v>0.5</v>
      </c>
      <c r="C26" s="504"/>
      <c r="D26" s="488">
        <f>Medicamentos!G29</f>
        <v>0.5</v>
      </c>
      <c r="E26" s="505"/>
      <c r="F26" s="79" t="s">
        <v>149</v>
      </c>
      <c r="G26" s="510" t="s">
        <v>73</v>
      </c>
      <c r="H26" s="511"/>
    </row>
    <row r="28" spans="1:11" ht="15.75" thickBot="1" x14ac:dyDescent="0.3"/>
    <row r="29" spans="1:11" ht="19.5" thickBot="1" x14ac:dyDescent="0.3">
      <c r="A29" s="493" t="s">
        <v>86</v>
      </c>
      <c r="B29" s="494"/>
      <c r="C29" s="494"/>
      <c r="D29" s="494"/>
      <c r="E29" s="494"/>
      <c r="F29" s="494"/>
      <c r="G29" s="494"/>
      <c r="H29" s="495"/>
    </row>
    <row r="30" spans="1:11" ht="30.75" customHeight="1" thickBot="1" x14ac:dyDescent="0.3">
      <c r="A30" s="69" t="s">
        <v>135</v>
      </c>
      <c r="B30" s="501" t="s">
        <v>250</v>
      </c>
      <c r="C30" s="502"/>
      <c r="D30" s="499" t="s">
        <v>111</v>
      </c>
      <c r="E30" s="500"/>
      <c r="F30" s="496" t="s">
        <v>112</v>
      </c>
      <c r="G30" s="497"/>
      <c r="H30" s="498"/>
    </row>
    <row r="31" spans="1:11" ht="19.5" thickBot="1" x14ac:dyDescent="0.35">
      <c r="A31" s="49" t="s">
        <v>16</v>
      </c>
      <c r="B31" s="489">
        <f>Medicamentos!D34</f>
        <v>1</v>
      </c>
      <c r="C31" s="490"/>
      <c r="D31" s="486" t="s">
        <v>132</v>
      </c>
      <c r="E31" s="487"/>
      <c r="F31" s="488">
        <f>Medicamentos!G34</f>
        <v>7.2</v>
      </c>
      <c r="G31" s="461"/>
      <c r="H31" s="68" t="s">
        <v>64</v>
      </c>
    </row>
    <row r="32" spans="1:11" ht="38.25" thickBot="1" x14ac:dyDescent="0.35">
      <c r="A32" s="70" t="s">
        <v>137</v>
      </c>
      <c r="B32" s="486">
        <f>Medicamentos!D35</f>
        <v>0.01</v>
      </c>
      <c r="C32" s="487"/>
      <c r="D32" s="489" t="s">
        <v>132</v>
      </c>
      <c r="E32" s="490"/>
      <c r="F32" s="488">
        <f>Medicamentos!G35</f>
        <v>72</v>
      </c>
      <c r="G32" s="461"/>
      <c r="H32" s="71" t="s">
        <v>65</v>
      </c>
    </row>
    <row r="33" spans="1:8" ht="19.5" thickBot="1" x14ac:dyDescent="0.35">
      <c r="A33" s="71" t="s">
        <v>88</v>
      </c>
      <c r="B33" s="486">
        <f>Medicamentos!D36</f>
        <v>20</v>
      </c>
      <c r="C33" s="487"/>
      <c r="D33" s="486" t="s">
        <v>132</v>
      </c>
      <c r="E33" s="487"/>
      <c r="F33" s="488">
        <f>Medicamentos!G36</f>
        <v>144</v>
      </c>
      <c r="G33" s="461"/>
      <c r="H33" s="71" t="s">
        <v>64</v>
      </c>
    </row>
    <row r="34" spans="1:8" ht="19.5" thickBot="1" x14ac:dyDescent="0.35">
      <c r="A34" s="71" t="s">
        <v>89</v>
      </c>
      <c r="B34" s="486">
        <f>Medicamentos!D37</f>
        <v>20</v>
      </c>
      <c r="C34" s="487"/>
      <c r="D34" s="486" t="s">
        <v>132</v>
      </c>
      <c r="E34" s="487"/>
      <c r="F34" s="488">
        <f>Medicamentos!G37</f>
        <v>144</v>
      </c>
      <c r="G34" s="461"/>
      <c r="H34" s="71" t="s">
        <v>64</v>
      </c>
    </row>
    <row r="35" spans="1:8" ht="19.5" thickBot="1" x14ac:dyDescent="0.35">
      <c r="A35" s="71" t="s">
        <v>19</v>
      </c>
      <c r="B35" s="486">
        <f>Medicamentos!D38</f>
        <v>5</v>
      </c>
      <c r="C35" s="487"/>
      <c r="D35" s="486" t="s">
        <v>156</v>
      </c>
      <c r="E35" s="487"/>
      <c r="F35" s="460">
        <f>Medicamentos!G38</f>
        <v>600</v>
      </c>
      <c r="G35" s="461"/>
      <c r="H35" s="71" t="s">
        <v>65</v>
      </c>
    </row>
    <row r="36" spans="1:8" ht="19.5" thickBot="1" x14ac:dyDescent="0.35">
      <c r="A36" s="71" t="s">
        <v>90</v>
      </c>
      <c r="B36" s="486">
        <f>Medicamentos!D39</f>
        <v>0.1</v>
      </c>
      <c r="C36" s="487"/>
      <c r="D36" s="486" t="s">
        <v>115</v>
      </c>
      <c r="E36" s="487"/>
      <c r="F36" s="488">
        <f>Medicamentos!G39</f>
        <v>12</v>
      </c>
      <c r="G36" s="461"/>
      <c r="H36" s="71" t="s">
        <v>116</v>
      </c>
    </row>
    <row r="37" spans="1:8" ht="19.5" thickBot="1" x14ac:dyDescent="0.35">
      <c r="A37" s="71" t="s">
        <v>25</v>
      </c>
      <c r="B37" s="489">
        <f>Medicamentos!D40</f>
        <v>100</v>
      </c>
      <c r="C37" s="490"/>
      <c r="D37" s="486" t="s">
        <v>114</v>
      </c>
      <c r="E37" s="487"/>
      <c r="F37" s="488">
        <f>Medicamentos!G40</f>
        <v>12</v>
      </c>
      <c r="G37" s="461"/>
      <c r="H37" s="71" t="s">
        <v>64</v>
      </c>
    </row>
    <row r="38" spans="1:8" ht="19.5" thickBot="1" x14ac:dyDescent="0.35">
      <c r="A38" s="71" t="s">
        <v>91</v>
      </c>
      <c r="B38" s="486">
        <f>Medicamentos!D41</f>
        <v>1</v>
      </c>
      <c r="C38" s="487"/>
      <c r="D38" s="486" t="s">
        <v>132</v>
      </c>
      <c r="E38" s="487"/>
      <c r="F38" s="488">
        <f>Medicamentos!G41</f>
        <v>7.2</v>
      </c>
      <c r="G38" s="461"/>
      <c r="H38" s="72" t="s">
        <v>64</v>
      </c>
    </row>
    <row r="39" spans="1:8" ht="19.5" thickBot="1" x14ac:dyDescent="0.35">
      <c r="A39" s="71" t="s">
        <v>26</v>
      </c>
      <c r="B39" s="486">
        <f>Medicamentos!D42</f>
        <v>20</v>
      </c>
      <c r="C39" s="487"/>
      <c r="D39" s="486" t="s">
        <v>114</v>
      </c>
      <c r="E39" s="487"/>
      <c r="F39" s="488">
        <f>Medicamentos!G42</f>
        <v>2.4</v>
      </c>
      <c r="G39" s="461"/>
      <c r="H39" s="72" t="s">
        <v>64</v>
      </c>
    </row>
    <row r="40" spans="1:8" ht="19.5" thickBot="1" x14ac:dyDescent="0.35">
      <c r="A40" s="71" t="s">
        <v>92</v>
      </c>
      <c r="B40" s="491">
        <f>Medicamentos!D43</f>
        <v>1</v>
      </c>
      <c r="C40" s="492"/>
      <c r="D40" s="489" t="s">
        <v>132</v>
      </c>
      <c r="E40" s="490"/>
      <c r="F40" s="488">
        <f>Medicamentos!G43</f>
        <v>7.2</v>
      </c>
      <c r="G40" s="461"/>
      <c r="H40" s="71" t="s">
        <v>64</v>
      </c>
    </row>
    <row r="41" spans="1:8" ht="57" thickBot="1" x14ac:dyDescent="0.35">
      <c r="A41" s="73" t="s">
        <v>93</v>
      </c>
      <c r="B41" s="486">
        <f>Medicamentos!D44</f>
        <v>0.6</v>
      </c>
      <c r="C41" s="487"/>
      <c r="D41" s="486" t="s">
        <v>114</v>
      </c>
      <c r="E41" s="487"/>
      <c r="F41" s="488">
        <f>Medicamentos!G44</f>
        <v>72</v>
      </c>
      <c r="G41" s="461"/>
      <c r="H41" s="71" t="s">
        <v>65</v>
      </c>
    </row>
    <row r="42" spans="1:8" ht="19.5" thickBot="1" x14ac:dyDescent="0.35">
      <c r="A42" s="71" t="s">
        <v>28</v>
      </c>
      <c r="B42" s="486">
        <f>Medicamentos!D45</f>
        <v>3</v>
      </c>
      <c r="C42" s="487"/>
      <c r="D42" s="486" t="s">
        <v>114</v>
      </c>
      <c r="E42" s="487"/>
      <c r="F42" s="460">
        <f>Medicamentos!G45</f>
        <v>360</v>
      </c>
      <c r="G42" s="461"/>
      <c r="H42" s="71" t="s">
        <v>64</v>
      </c>
    </row>
    <row r="43" spans="1:8" ht="19.5" thickBot="1" x14ac:dyDescent="0.35">
      <c r="A43" s="62" t="s">
        <v>29</v>
      </c>
      <c r="B43" s="486">
        <f>Medicamentos!D46</f>
        <v>0.2</v>
      </c>
      <c r="C43" s="487"/>
      <c r="D43" s="486" t="s">
        <v>114</v>
      </c>
      <c r="E43" s="487"/>
      <c r="F43" s="488">
        <f>Medicamentos!G46</f>
        <v>24</v>
      </c>
      <c r="G43" s="461"/>
      <c r="H43" s="71" t="s">
        <v>64</v>
      </c>
    </row>
    <row r="44" spans="1:8" ht="15.75" thickBot="1" x14ac:dyDescent="0.3">
      <c r="D44" s="67"/>
      <c r="E44" s="67"/>
    </row>
    <row r="45" spans="1:8" ht="19.5" thickBot="1" x14ac:dyDescent="0.35">
      <c r="D45" s="82" t="s">
        <v>150</v>
      </c>
      <c r="E45" s="62">
        <f>Medicamentos!I6</f>
        <v>0</v>
      </c>
    </row>
  </sheetData>
  <sheetProtection sheet="1" objects="1" scenarios="1" selectLockedCells="1"/>
  <mergeCells count="100">
    <mergeCell ref="G8:H8"/>
    <mergeCell ref="B17:C17"/>
    <mergeCell ref="B8:C8"/>
    <mergeCell ref="B9:C9"/>
    <mergeCell ref="B10:C10"/>
    <mergeCell ref="D8:E8"/>
    <mergeCell ref="D17:E17"/>
    <mergeCell ref="G9:H9"/>
    <mergeCell ref="G10:H10"/>
    <mergeCell ref="B2:H2"/>
    <mergeCell ref="B4:H4"/>
    <mergeCell ref="B5:D5"/>
    <mergeCell ref="G5:H5"/>
    <mergeCell ref="A7:H7"/>
    <mergeCell ref="A11:A12"/>
    <mergeCell ref="A13:A14"/>
    <mergeCell ref="D20:E20"/>
    <mergeCell ref="D18:E18"/>
    <mergeCell ref="B20:C20"/>
    <mergeCell ref="A18:A19"/>
    <mergeCell ref="D19:E19"/>
    <mergeCell ref="G26:H26"/>
    <mergeCell ref="F11:F12"/>
    <mergeCell ref="F13:F14"/>
    <mergeCell ref="F18:F19"/>
    <mergeCell ref="G21:H21"/>
    <mergeCell ref="G22:H22"/>
    <mergeCell ref="G23:H23"/>
    <mergeCell ref="G24:H24"/>
    <mergeCell ref="G25:H25"/>
    <mergeCell ref="G15:H15"/>
    <mergeCell ref="G16:H16"/>
    <mergeCell ref="G17:H17"/>
    <mergeCell ref="G18:H19"/>
    <mergeCell ref="G20:H20"/>
    <mergeCell ref="G11:H12"/>
    <mergeCell ref="G13:H14"/>
    <mergeCell ref="B21:C21"/>
    <mergeCell ref="D26:E26"/>
    <mergeCell ref="D9:E9"/>
    <mergeCell ref="D10:E10"/>
    <mergeCell ref="D11:E11"/>
    <mergeCell ref="D12:E12"/>
    <mergeCell ref="D13:E13"/>
    <mergeCell ref="D14:E14"/>
    <mergeCell ref="D21:E21"/>
    <mergeCell ref="D22:E22"/>
    <mergeCell ref="D23:E23"/>
    <mergeCell ref="D24:E24"/>
    <mergeCell ref="D25:E25"/>
    <mergeCell ref="D15:E15"/>
    <mergeCell ref="D16:E16"/>
    <mergeCell ref="B22:C22"/>
    <mergeCell ref="B23:C23"/>
    <mergeCell ref="B24:C24"/>
    <mergeCell ref="B25:C25"/>
    <mergeCell ref="B26:C26"/>
    <mergeCell ref="D33:E33"/>
    <mergeCell ref="B31:C31"/>
    <mergeCell ref="B32:C32"/>
    <mergeCell ref="B33:C33"/>
    <mergeCell ref="D31:E31"/>
    <mergeCell ref="D32:E32"/>
    <mergeCell ref="D34:E34"/>
    <mergeCell ref="B34:C34"/>
    <mergeCell ref="F41:G41"/>
    <mergeCell ref="F42:G42"/>
    <mergeCell ref="A29:H29"/>
    <mergeCell ref="F30:H30"/>
    <mergeCell ref="F31:G31"/>
    <mergeCell ref="F32:G32"/>
    <mergeCell ref="F33:G33"/>
    <mergeCell ref="D30:E30"/>
    <mergeCell ref="B37:C37"/>
    <mergeCell ref="D37:E37"/>
    <mergeCell ref="B38:C38"/>
    <mergeCell ref="D38:E38"/>
    <mergeCell ref="F34:G34"/>
    <mergeCell ref="B30:C30"/>
    <mergeCell ref="B36:C36"/>
    <mergeCell ref="D36:E36"/>
    <mergeCell ref="F39:G39"/>
    <mergeCell ref="F40:G40"/>
    <mergeCell ref="B40:C40"/>
    <mergeCell ref="B41:C41"/>
    <mergeCell ref="B42:C42"/>
    <mergeCell ref="B43:C43"/>
    <mergeCell ref="F35:G35"/>
    <mergeCell ref="F36:G36"/>
    <mergeCell ref="F37:G37"/>
    <mergeCell ref="F38:G38"/>
    <mergeCell ref="D39:E39"/>
    <mergeCell ref="D40:E40"/>
    <mergeCell ref="D41:E41"/>
    <mergeCell ref="D42:E42"/>
    <mergeCell ref="D43:E43"/>
    <mergeCell ref="B39:C39"/>
    <mergeCell ref="F43:G43"/>
    <mergeCell ref="D35:E35"/>
    <mergeCell ref="B35:C35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Medicamentos</vt:lpstr>
      <vt:lpstr>Antimicrobianos</vt:lpstr>
      <vt:lpstr>Otros medicamentos</vt:lpstr>
      <vt:lpstr>Inmunoglobulina</vt:lpstr>
      <vt:lpstr>Reanimación</vt:lpstr>
      <vt:lpstr>Versión Para Imprimir</vt:lpstr>
      <vt:lpstr>Peso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Usuario</cp:lastModifiedBy>
  <cp:lastPrinted>2025-04-22T16:58:14Z</cp:lastPrinted>
  <dcterms:created xsi:type="dcterms:W3CDTF">2021-01-21T11:41:51Z</dcterms:created>
  <dcterms:modified xsi:type="dcterms:W3CDTF">2026-02-07T15:47:29Z</dcterms:modified>
</cp:coreProperties>
</file>